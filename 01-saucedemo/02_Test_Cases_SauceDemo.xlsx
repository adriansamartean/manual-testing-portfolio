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edco\OneDrive\Desktop\PORTOFOLIU QA\"/>
    </mc:Choice>
  </mc:AlternateContent>
  <xr:revisionPtr revIDLastSave="0" documentId="13_ncr:1_{4B878471-2C17-49CF-B45F-92CB5532A09D}" xr6:coauthVersionLast="47" xr6:coauthVersionMax="47" xr10:uidLastSave="{00000000-0000-0000-0000-000000000000}"/>
  <bookViews>
    <workbookView xWindow="-120" yWindow="-120" windowWidth="29040" windowHeight="15720" tabRatio="500" activeTab="1" xr2:uid="{00000000-000D-0000-FFFF-FFFF00000000}"/>
  </bookViews>
  <sheets>
    <sheet name="Test Cases" sheetId="1" r:id="rId1"/>
    <sheet name="Summary"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3" i="2" l="1"/>
  <c r="B13" i="2"/>
  <c r="C12" i="2"/>
  <c r="B12" i="2"/>
  <c r="B11" i="2"/>
  <c r="C11" i="2" s="1"/>
  <c r="C10" i="2"/>
  <c r="B10" i="2"/>
  <c r="B9" i="2"/>
  <c r="C9" i="2" s="1"/>
</calcChain>
</file>

<file path=xl/sharedStrings.xml><?xml version="1.0" encoding="utf-8"?>
<sst xmlns="http://schemas.openxmlformats.org/spreadsheetml/2006/main" count="476" uniqueCount="323">
  <si>
    <t>TC ID</t>
  </si>
  <si>
    <t>Module</t>
  </si>
  <si>
    <t>Test Scenario</t>
  </si>
  <si>
    <t>Test Case Title</t>
  </si>
  <si>
    <t>Priority</t>
  </si>
  <si>
    <t>Preconditions</t>
  </si>
  <si>
    <t>Test Steps</t>
  </si>
  <si>
    <t>Test Data</t>
  </si>
  <si>
    <t>Expected Result</t>
  </si>
  <si>
    <t>Actual Result</t>
  </si>
  <si>
    <t>Status</t>
  </si>
  <si>
    <t>Tester</t>
  </si>
  <si>
    <t>Execution Date</t>
  </si>
  <si>
    <t>Bug ID</t>
  </si>
  <si>
    <t>Notes</t>
  </si>
  <si>
    <t>TC_LOGIN_01</t>
  </si>
  <si>
    <t>Login</t>
  </si>
  <si>
    <t>Valid login with standard_user</t>
  </si>
  <si>
    <t>Verify successful login with valid standard credentials</t>
  </si>
  <si>
    <t>High</t>
  </si>
  <si>
    <t>User is on https://www.saucedemo.com</t>
  </si>
  <si>
    <t>1. Enter 'standard_user' in Username field
2. Enter 'secret_sauce' in Password field
3. Click Login button</t>
  </si>
  <si>
    <t>Username: standard_user
Password: secret_sauce</t>
  </si>
  <si>
    <t>User is redirected to /inventory.html and product list is displayed</t>
  </si>
  <si>
    <t>User is successfully redirected to /inventory.html. The product list with 6 items is displayed correctly. Login behaves as expected.</t>
  </si>
  <si>
    <t>Pass</t>
  </si>
  <si>
    <t>Adrian</t>
  </si>
  <si>
    <t>2026-04-27</t>
  </si>
  <si>
    <t>Smoke test passed — main happy path works correctly.</t>
  </si>
  <si>
    <t>TC_LOGIN_02</t>
  </si>
  <si>
    <t>Login with locked_out_user</t>
  </si>
  <si>
    <t>Verify error message for locked user</t>
  </si>
  <si>
    <t>User is on login page</t>
  </si>
  <si>
    <t>1. Enter 'locked_out_user' in Username
2. Enter 'secret_sauce' in Password
3. Click Login</t>
  </si>
  <si>
    <t>Username: locked_out_user
Password: secret_sauce</t>
  </si>
  <si>
    <t>Error message displayed: 'Epic sadface: Sorry, this user has been locked out.'</t>
  </si>
  <si>
    <t>Error message is displayed exactly as expected: 'Epic sadface: Sorry, this user has been locked out.' Red error banner appears at the top of the form. User remains on login page.</t>
  </si>
  <si>
    <t>Negative scenario validated correctly.</t>
  </si>
  <si>
    <t>TC_LOGIN_03</t>
  </si>
  <si>
    <t>Login with empty username</t>
  </si>
  <si>
    <t>Verify validation for empty username field</t>
  </si>
  <si>
    <t>Medium</t>
  </si>
  <si>
    <t>1. Leave Username field empty
2. Enter 'secret_sauce' in Password
3. Click Login</t>
  </si>
  <si>
    <t>Username: (empty)
Password: secret_sauce</t>
  </si>
  <si>
    <t>Error message displayed: 'Epic sadface: Username is required'</t>
  </si>
  <si>
    <t>Error message displayed exactly as expected: 'Epic sadface: Username is required'. Both input fields are highlighted in red with X icons. User remains on login page.</t>
  </si>
  <si>
    <t>Field validation works correctly.</t>
  </si>
  <si>
    <t>TC_LOGIN_04</t>
  </si>
  <si>
    <t>Login with empty password</t>
  </si>
  <si>
    <t>Verify validation for empty password field</t>
  </si>
  <si>
    <t>1. Enter 'standard_user' in Username
2. Leave Password field empty
3. Click Login</t>
  </si>
  <si>
    <t>Username: standard_user
Password: (empty)</t>
  </si>
  <si>
    <t>Error message displayed: 'Epic sadface: Password is required'</t>
  </si>
  <si>
    <t>Error message displayed exactly as expected: 'Epic sadface: Password is required'. Both input fields are highlighted in red with X icons.</t>
  </si>
  <si>
    <t>TC_LOGIN_05</t>
  </si>
  <si>
    <t>Login with invalid credentials</t>
  </si>
  <si>
    <t>Verify error for incorrect username/password</t>
  </si>
  <si>
    <t>1. Enter 'invalid_user' in Username
2. Enter 'wrong_pass' in Password
3. Click Login</t>
  </si>
  <si>
    <t>Username: invalid_user
Password: wrong_pass</t>
  </si>
  <si>
    <t>Error message displayed: 'Epic sadface: Username and password do not match any user in this service'</t>
  </si>
  <si>
    <t>Error message displayed exactly as expected: 'Epic sadface: Username and password do not match any user in this service'. Both fields highlighted with X icons.</t>
  </si>
  <si>
    <t>TC_LOGIN_06</t>
  </si>
  <si>
    <t>Login with problem_user</t>
  </si>
  <si>
    <t>Verify login succeeds but UI has known issues</t>
  </si>
  <si>
    <t>1. Enter 'problem_user' in Username
2. Enter 'secret_sauce' in Password
3. Click Login
4. Observe product images</t>
  </si>
  <si>
    <t>Username: problem_user
Password: secret_sauce</t>
  </si>
  <si>
    <t>User logs in. EXPECTED ANOMALY: All product images display the same picture (a dog) — must be reported as bug.</t>
  </si>
  <si>
    <t>User logs in successfully and is redirected to /inventory.html. CONFIRMED ANOMALY: All 6 product images display the same image (a dog photo) instead of unique product images. This affects user ability to identify products visually.</t>
  </si>
  <si>
    <t>Fail</t>
  </si>
  <si>
    <t>BUG_002</t>
  </si>
  <si>
    <t>Defect confirmed and reported as BUG_002. Severity: High.</t>
  </si>
  <si>
    <t>TC_LOGIN_07</t>
  </si>
  <si>
    <t>Login with performance_glitch_user</t>
  </si>
  <si>
    <t>Verify login completes despite slow response</t>
  </si>
  <si>
    <t>1. Enter 'performance_glitch_user' in Username
2. Enter 'secret_sauce' in Password
3. Click Login
4. Measure response time</t>
  </si>
  <si>
    <t>Username: performance_glitch_user
Password: secret_sauce</t>
  </si>
  <si>
    <t>Login eventually succeeds. EXPECTED ANOMALY: Significant delay (~5+ seconds) — must be reported as performance bug.</t>
  </si>
  <si>
    <t>Login completes successfully but with significant delay. Measured response time: ~5-6 seconds (vs. &lt;1 second for standard_user). The /inventory.html page loads correctly after the delay.</t>
  </si>
  <si>
    <t>BUG_003</t>
  </si>
  <si>
    <t>Performance defect confirmed. 5x slower than baseline.</t>
  </si>
  <si>
    <t>TC_LOGIN_08</t>
  </si>
  <si>
    <t>Password field masking</t>
  </si>
  <si>
    <t>Verify password is masked when typed</t>
  </si>
  <si>
    <t>Low</t>
  </si>
  <si>
    <t>1. Click on Password field
2. Type any characters
3. Observe field display</t>
  </si>
  <si>
    <t>Password: secret_sauce</t>
  </si>
  <si>
    <t>Characters are displayed as dots/asterisks, not plain text</t>
  </si>
  <si>
    <t>Password input is correctly masked — characters appear as dots (•) immediately as typed. No plain-text password is visible at any moment.</t>
  </si>
  <si>
    <t>Standard security behavior confirmed.</t>
  </si>
  <si>
    <t>TC_INV_01</t>
  </si>
  <si>
    <t>Inventory</t>
  </si>
  <si>
    <t>Display all products on inventory page</t>
  </si>
  <si>
    <t>Verify all 6 products are displayed after login</t>
  </si>
  <si>
    <t>User is logged in as standard_user</t>
  </si>
  <si>
    <t>1. Land on /inventory.html
2. Count product cards
3. Verify each product has image, name, description, price, Add to cart button</t>
  </si>
  <si>
    <t>User: standard_user</t>
  </si>
  <si>
    <t>6 products are displayed, each with all required UI elements</t>
  </si>
  <si>
    <t>All 6 products are displayed: Sauce Labs Backpack, Sauce Labs Bike Light, Sauce Labs Bolt T-Shirt, Sauce Labs Fleece Jacket, Sauce Labs Onesie, Test.allTheThings() T-Shirt (Red). Each card has image, name, description, price, and 'Add to cart' button.</t>
  </si>
  <si>
    <t>TC_INV_02</t>
  </si>
  <si>
    <t>Sort products A-Z (default)</t>
  </si>
  <si>
    <t>Verify alphabetical sorting works</t>
  </si>
  <si>
    <t>User is on inventory page</t>
  </si>
  <si>
    <t>1. Open sort dropdown
2. Select 'Name (A to Z)'
3. Verify product order</t>
  </si>
  <si>
    <t>Sort: Name (A to Z)</t>
  </si>
  <si>
    <t>Products are sorted alphabetically: Sauce Labs Backpack first, Test.allTheThings() T-Shirt last</t>
  </si>
  <si>
    <t>Products are sorted alphabetically: 1) Sauce Labs Backpack, 2) Sauce Labs Bike Light, 3) Sauce Labs Bolt T-Shirt, 4) Sauce Labs Fleece Jacket, 5) Sauce Labs Onesie, 6) Test.allTheThings() T-Shirt (Red). Order matches expectation.</t>
  </si>
  <si>
    <t>This is also the default sort on page load.</t>
  </si>
  <si>
    <t>TC_INV_03</t>
  </si>
  <si>
    <t>Sort products Z-A</t>
  </si>
  <si>
    <t>Verify reverse alphabetical sorting</t>
  </si>
  <si>
    <t>1. Open sort dropdown
2. Select 'Name (Z to A)'
3. Verify product order</t>
  </si>
  <si>
    <t>Sort: Name (Z to A)</t>
  </si>
  <si>
    <t>Products are sorted in reverse alphabetical order</t>
  </si>
  <si>
    <t>Products are sorted in reverse alphabetical order: Test.allTheThings() T-Shirt (Red) first, Sauce Labs Backpack last. Sort works correctly.</t>
  </si>
  <si>
    <t>TC_INV_04</t>
  </si>
  <si>
    <t>Sort products by Price (low to high)</t>
  </si>
  <si>
    <t>Verify ascending price sort</t>
  </si>
  <si>
    <t>1. Open sort dropdown
2. Select 'Price (low to high)'
3. Verify prices are in ascending order</t>
  </si>
  <si>
    <t>Sort: Price (low to high)</t>
  </si>
  <si>
    <t>Products are displayed from cheapest ($7.99) to most expensive ($49.99)</t>
  </si>
  <si>
    <t>Products are correctly sorted ascending by price: $7.99 (Onesie), $9.99 (Bike Light), $15.99 (Bolt T-Shirt), $15.99 (Test.allTheThings T-Shirt), $29.99 (Backpack), $49.99 (Fleece Jacket). Note: two items at $15.99 — order between them appears stable.</t>
  </si>
  <si>
    <t>Tiebreaker behavior between equal prices not formally specified.</t>
  </si>
  <si>
    <t>TC_INV_05</t>
  </si>
  <si>
    <t>Sort products by Price (high to low)</t>
  </si>
  <si>
    <t>Verify descending price sort</t>
  </si>
  <si>
    <t>1. Open sort dropdown
2. Select 'Price (high to low)'
3. Verify prices are in descending order</t>
  </si>
  <si>
    <t>Sort: Price (high to low)</t>
  </si>
  <si>
    <t>Products are displayed from most expensive ($49.99) to cheapest ($7.99)</t>
  </si>
  <si>
    <t>Products are correctly sorted descending by price: $49.99 (Fleece Jacket) first, $7.99 (Onesie) last. All prices in correct descending order.</t>
  </si>
  <si>
    <t>TC_INV_06</t>
  </si>
  <si>
    <t>Open product details page</t>
  </si>
  <si>
    <t>Verify product detail view from inventory</t>
  </si>
  <si>
    <t>1. Click on 'Sauce Labs Backpack' product name
2. Verify URL changes
3. Verify product details page is displayed</t>
  </si>
  <si>
    <t>Product: Sauce Labs Backpack</t>
  </si>
  <si>
    <t>User is redirected to /inventory-item.html?id=4 with full product details (image, name, description, price, Add to cart button)</t>
  </si>
  <si>
    <t>Click on product name navigates to /inventory-item.html?id=4. Detail page displays: large product image, name 'Sauce Labs Backpack', full description, price $29.99, 'Add to cart' button, and 'Back to products' button.</t>
  </si>
  <si>
    <t>TC_CART_01</t>
  </si>
  <si>
    <t>Cart</t>
  </si>
  <si>
    <t>Add single item to cart</t>
  </si>
  <si>
    <t>Verify item is added and badge updates</t>
  </si>
  <si>
    <t>1. Click 'Add to cart' button on Sauce Labs Backpack
2. Verify button changes to 'Remove'
3. Verify cart badge shows '1'</t>
  </si>
  <si>
    <t>Button text changes to 'Remove'. Cart badge displays '1'.</t>
  </si>
  <si>
    <t>Button text changes from 'Add to cart' to 'Remove' immediately on click. Cart icon (top-right) displays a red badge with the number '1'. Behavior is instant, no page reload.</t>
  </si>
  <si>
    <t>TC_CART_02</t>
  </si>
  <si>
    <t>Add multiple items to cart</t>
  </si>
  <si>
    <t>Verify cart badge updates correctly with multiple products</t>
  </si>
  <si>
    <t>1. Click 'Add to cart' on 3 different products
2. Verify cart badge counter</t>
  </si>
  <si>
    <t>Products: 3 different items</t>
  </si>
  <si>
    <t>Cart badge displays '3'. All three buttons changed to 'Remove'.</t>
  </si>
  <si>
    <t>Cart badge updates correctly: shows '1' after first add, '2' after second, '3' after third. All three corresponding buttons show 'Remove'. Other product buttons remain as 'Add to cart'.</t>
  </si>
  <si>
    <t>TC_CART_03</t>
  </si>
  <si>
    <t>Remove item from inventory page</t>
  </si>
  <si>
    <t>Verify item can be removed via Remove button</t>
  </si>
  <si>
    <t>User has 1 item in cart</t>
  </si>
  <si>
    <t>1. On inventory page, click 'Remove' on the item
2. Verify button changes back to 'Add to cart'
3. Verify cart badge disappears</t>
  </si>
  <si>
    <t>Product: any added item</t>
  </si>
  <si>
    <t>Button text changes to 'Add to cart'. Cart badge is no longer visible.</t>
  </si>
  <si>
    <t>On clicking 'Remove', button text reverts to 'Add to cart' immediately. Cart badge disappears completely (not shown as '0' — it is hidden when count is zero). Behavior is correct.</t>
  </si>
  <si>
    <t>TC_CART_04</t>
  </si>
  <si>
    <t>View cart page</t>
  </si>
  <si>
    <t>Verify cart page displays added items correctly</t>
  </si>
  <si>
    <t>User has 2 items in cart</t>
  </si>
  <si>
    <t>1. Click on cart icon
2. Verify URL is /cart.html
3. Verify both items are listed with name, description, price, quantity</t>
  </si>
  <si>
    <t>Cart contents: 2 items</t>
  </si>
  <si>
    <t>Cart page lists both items with QTY=1, name, description, price, and Remove button each</t>
  </si>
  <si>
    <t>URL changes to /cart.html. Both items are listed with: QTY column showing '1', product name (clickable), description, price, and 'Remove' button per row. 'Continue Shopping' and 'Checkout' buttons visible at the bottom.</t>
  </si>
  <si>
    <t>TC_CART_05</t>
  </si>
  <si>
    <t>Remove item from cart page</t>
  </si>
  <si>
    <t>Verify item removal directly from cart</t>
  </si>
  <si>
    <t>User is on cart page with 2 items</t>
  </si>
  <si>
    <t>1. Click 'Remove' next to the first item
2. Verify item is removed
3. Verify cart badge updates</t>
  </si>
  <si>
    <t>Cart: 2 items</t>
  </si>
  <si>
    <t>First item is removed from list. Cart badge updates from 2 to 1.</t>
  </si>
  <si>
    <t>First item is removed from the cart list immediately on click. Cart badge updates from '2' to '1' in the header. Remaining item is still displayed correctly.</t>
  </si>
  <si>
    <t>TC_CART_06</t>
  </si>
  <si>
    <t>Continue shopping from cart</t>
  </si>
  <si>
    <t>Verify Continue Shopping button works</t>
  </si>
  <si>
    <t>User is on cart page</t>
  </si>
  <si>
    <t>1. Click 'Continue Shopping' button</t>
  </si>
  <si>
    <t>N/A</t>
  </si>
  <si>
    <t>User is redirected back to /inventory.html. Cart contents are preserved.</t>
  </si>
  <si>
    <t>User is redirected to /inventory.html as expected. Cart badge still shows correct item count. Items previously added still show 'Remove' button on inventory page.</t>
  </si>
  <si>
    <t>TC_CART_07</t>
  </si>
  <si>
    <t>Cart persistence after logout/login</t>
  </si>
  <si>
    <t>Verify cart state behavior across sessions</t>
  </si>
  <si>
    <t>User has items in cart</t>
  </si>
  <si>
    <t>1. Add 1 item to cart
2. Logout
3. Login again with same user
4. Check cart</t>
  </si>
  <si>
    <t>Cart still contains the previously added item (or is empty, depending on app design — document actual behavior)</t>
  </si>
  <si>
    <t>After logout and re-login with the same user, the cart still contains the previously added item. Cart badge shows '1' and item is preserved on /cart.html. ACTUAL BEHAVIOR: Cart persists across sessions for the same user.</t>
  </si>
  <si>
    <t>Documented behavior — cart is persisted server-side per user. Worth noting in regression suite.</t>
  </si>
  <si>
    <t>TC_CHK_01</t>
  </si>
  <si>
    <t>Checkout</t>
  </si>
  <si>
    <t>Initiate checkout with empty cart</t>
  </si>
  <si>
    <t>Verify behavior when checking out with empty cart</t>
  </si>
  <si>
    <t>User has empty cart</t>
  </si>
  <si>
    <t>1. Navigate to /cart.html
2. Click 'Checkout' button
3. Observe behavior</t>
  </si>
  <si>
    <t>Cart: empty</t>
  </si>
  <si>
    <t>EXPECTED: System should prevent checkout or display warning. Document actual behavior — possible bug if user is allowed to proceed.</t>
  </si>
  <si>
    <t>Application allows the user to proceed to /checkout-step-one.html with an empty cart. No warning is shown. User can fill the form and click Continue, reaching the overview page with $0.00 totals. This is unexpected for a real e-commerce flow.</t>
  </si>
  <si>
    <t>BUG_004</t>
  </si>
  <si>
    <t>Reported as BUG_004 (Medium severity) — checkout should be blocked when cart is empty.</t>
  </si>
  <si>
    <t>TC_CHK_02</t>
  </si>
  <si>
    <t>Complete checkout with valid info</t>
  </si>
  <si>
    <t>Verify successful end-to-end checkout flow</t>
  </si>
  <si>
    <t>User has 1+ items in cart</t>
  </si>
  <si>
    <t>1. Click Checkout
2. Enter First Name: Adrian
3. Enter Last Name: Test
4. Enter Postal Code: 400445
5. Click Continue
6. Click Finish on overview</t>
  </si>
  <si>
    <t>First Name: Adrian
Last Name: Test
Postal Code: 400445</t>
  </si>
  <si>
    <t>User is redirected to /checkout-complete.html with 'Thank you for your order!' message and Pony Express image.</t>
  </si>
  <si>
    <t>Full flow completes successfully: form submission → overview page with item total, tax, and total → 'Finish' button → /checkout-complete.html displaying 'Thank you for your order!', 'Your order has been dispatched...' subtitle, and Pony Express image. 'Back Home' button is visible.</t>
  </si>
  <si>
    <t>End-to-end happy path validated — critical flow works.</t>
  </si>
  <si>
    <t>TC_CHK_03</t>
  </si>
  <si>
    <t>Checkout with empty First Name</t>
  </si>
  <si>
    <t>Verify First Name validation</t>
  </si>
  <si>
    <t>User is on /checkout-step-one.html</t>
  </si>
  <si>
    <t>1. Leave First Name empty
2. Enter Last Name and Postal Code
3. Click Continue</t>
  </si>
  <si>
    <t>First Name: (empty)
Last Name: Test
Postal Code: 400445</t>
  </si>
  <si>
    <t>Error message displayed: 'Error: First Name is required'</t>
  </si>
  <si>
    <t>Error displayed exactly as expected: 'Error: First Name is required'. Form is not submitted. User remains on /checkout-step-one.html. Field is highlighted with X icon.</t>
  </si>
  <si>
    <t>TC_CHK_04</t>
  </si>
  <si>
    <t>Checkout with empty Last Name</t>
  </si>
  <si>
    <t>Verify Last Name validation</t>
  </si>
  <si>
    <t>1. Enter First Name
2. Leave Last Name empty
3. Enter Postal Code
4. Click Continue</t>
  </si>
  <si>
    <t>First Name: Adrian
Last Name: (empty)
Postal Code: 400445</t>
  </si>
  <si>
    <t>Error message displayed: 'Error: Last Name is required'</t>
  </si>
  <si>
    <t>Error displayed: 'Error: Last Name is required'. Form not submitted. Field highlighted with X icon.</t>
  </si>
  <si>
    <t>TC_CHK_05</t>
  </si>
  <si>
    <t>Checkout with empty Postal Code</t>
  </si>
  <si>
    <t>Verify Postal Code validation</t>
  </si>
  <si>
    <t>1. Enter First Name and Last Name
2. Leave Postal Code empty
3. Click Continue</t>
  </si>
  <si>
    <t>First Name: Adrian
Last Name: Test
Postal Code: (empty)</t>
  </si>
  <si>
    <t>Error message displayed: 'Error: Postal Code is required'</t>
  </si>
  <si>
    <t>Error displayed: 'Error: Postal Code is required'. Form not submitted. Field highlighted with X icon.</t>
  </si>
  <si>
    <t>Validation order: errors are shown one at a time (First Name → Last Name → Postal Code). Worth noting — multi-field validation could be more user-friendly.</t>
  </si>
  <si>
    <t>TC_CHK_06</t>
  </si>
  <si>
    <t>Verify total calculation on overview page</t>
  </si>
  <si>
    <t>Validate item total + tax = total</t>
  </si>
  <si>
    <t>User has 1 item in cart (Sauce Labs Backpack $29.99) and reaches /checkout-step-two.html</t>
  </si>
  <si>
    <t>1. View Item Total
2. View Tax
3. View Total
4. Verify Item Total + Tax = Total</t>
  </si>
  <si>
    <t>Item: Sauce Labs Backpack ($29.99)</t>
  </si>
  <si>
    <t>Item total = $29.99, Tax = $2.40 (8%), Total = $32.39 (or value within rounding tolerance)</t>
  </si>
  <si>
    <t>Overview page displays: Item total: $29.99, Tax: $2.40, Total: $32.39. Calculation verified: 29.99 + 2.40 = 32.39 ✓. Tax rate calculated as 2.40/29.99 ≈ 8.0%, consistent with US sales tax range.</t>
  </si>
  <si>
    <t>Math verified manually. Tax rate is approximately 8% — consistent with documented behavior.</t>
  </si>
  <si>
    <t>TC_CHK_07</t>
  </si>
  <si>
    <t>Cancel checkout from step one</t>
  </si>
  <si>
    <t>Verify Cancel button returns to cart</t>
  </si>
  <si>
    <t>1. Click 'Cancel' button</t>
  </si>
  <si>
    <t>User is redirected back to /cart.html. Cart contents are preserved.</t>
  </si>
  <si>
    <t>Click on 'Cancel' redirects user back to /cart.html. All items previously in cart are still listed. Cart badge unchanged. Behavior correct.</t>
  </si>
  <si>
    <t>TC_CHK_08</t>
  </si>
  <si>
    <t>Cancel checkout from overview page</t>
  </si>
  <si>
    <t>Verify Cancel button on overview page</t>
  </si>
  <si>
    <t>User is on /checkout-step-two.html</t>
  </si>
  <si>
    <t>User is redirected back to /inventory.html (or /cart.html — document actual behavior).</t>
  </si>
  <si>
    <t>Click on 'Cancel' from overview page redirects user to /inventory.html (NOT /cart.html as one might expect). Cart contents are preserved — items still in cart, badge intact. Behavior is inconsistent with the Cancel from step one (which goes to /cart.html).</t>
  </si>
  <si>
    <t>Note: Cancel destination differs between step 1 (→ cart) and step 2 (→ inventory). Could be raised as UX inconsistency, but is not a functional bug.</t>
  </si>
  <si>
    <t>TC_MENU_01</t>
  </si>
  <si>
    <t>Menu</t>
  </si>
  <si>
    <t>Open and close hamburger menu</t>
  </si>
  <si>
    <t>Verify side menu opens and closes correctly</t>
  </si>
  <si>
    <t>User is logged in</t>
  </si>
  <si>
    <t>1. Click hamburger icon
2. Verify menu slides in
3. Click X button
4. Verify menu closes</t>
  </si>
  <si>
    <t>Menu opens with 4 options visible. X button closes the menu smoothly.</t>
  </si>
  <si>
    <t>Hamburger icon (top-left) opens the side menu with smooth slide-in animation. Menu shows 4 options: All Items, About, Logout, Reset App State. X button (top of menu) closes the menu with reverse animation. Behavior correct on both open and close.</t>
  </si>
  <si>
    <t>TC_MENU_02</t>
  </si>
  <si>
    <t>Logout via side menu</t>
  </si>
  <si>
    <t>Verify logout functionality</t>
  </si>
  <si>
    <t>1. Click hamburger icon
2. Click 'Logout' option</t>
  </si>
  <si>
    <t>User is redirected to login page (/). Session is terminated.</t>
  </si>
  <si>
    <t>Click on 'Logout' redirects user to / (login page). Session is fully terminated — attempting to navigate directly to /inventory.html redirects back to login (verified by URL manipulation).</t>
  </si>
  <si>
    <t>Session termination verified by attempting direct URL access post-logout.</t>
  </si>
  <si>
    <t>TC_MENU_03</t>
  </si>
  <si>
    <t>Reset App State</t>
  </si>
  <si>
    <t>Verify Reset App State clears cart</t>
  </si>
  <si>
    <t>User is logged in with items in cart</t>
  </si>
  <si>
    <t>1. Click hamburger icon
2. Click 'Reset App State'
3. Verify cart badge
4. Verify Add to cart buttons</t>
  </si>
  <si>
    <t>Cart: 2+ items</t>
  </si>
  <si>
    <t>Cart badge disappears. All product buttons return to 'Add to cart' state. KNOWN ISSUE: button state may not refresh — verify and report if applicable.</t>
  </si>
  <si>
    <t>Cart badge disappears immediately after clicking 'Reset App State' (cart correctly emptied). HOWEVER, the buttons for previously added items still display 'Remove' instead of reverting to 'Add to cart'. UI state is inconsistent — only refreshing the page (F5) restores the correct button labels.</t>
  </si>
  <si>
    <t>BUG_001</t>
  </si>
  <si>
    <t>Defect confirmed — partial reset. Reported as BUG_001 (Medium severity).</t>
  </si>
  <si>
    <t>TC_UI_01</t>
  </si>
  <si>
    <t>UI</t>
  </si>
  <si>
    <t>Visual user — visual glitches</t>
  </si>
  <si>
    <t>Verify UI defects with visual_user</t>
  </si>
  <si>
    <t>1. Login as 'visual_user' / 'secret_sauce'
2. Inspect inventory page layout
3. Compare with standard_user view</t>
  </si>
  <si>
    <t>Username: visual_user
Password: secret_sauce</t>
  </si>
  <si>
    <t>EXPECTED ANOMALIES: misaligned cart badge, broken button states, or other visual defects — document each as separate bug report.</t>
  </si>
  <si>
    <t>Login successful. CONFIRMED VISUAL DEFECTS: (1) Cart icon in header is visibly misaligned (shifted vs. standard_user layout). (2) One product image (Sauce Labs Bike Light) appears different/broken. Other UI elements appear consistent with standard_user.</t>
  </si>
  <si>
    <t>BUG_005</t>
  </si>
  <si>
    <t>Multiple visual defects observed. Reported as BUG_005 (Medium). May warrant splitting into separate bug reports per defect for clarity.</t>
  </si>
  <si>
    <t>TC_UI_02</t>
  </si>
  <si>
    <t>Footer social links</t>
  </si>
  <si>
    <t>Verify Twitter, Facebook, LinkedIn links work</t>
  </si>
  <si>
    <t>User is logged in on inventory page</t>
  </si>
  <si>
    <t>1. Scroll to footer
2. Click each social link
3. Verify each opens correct external page in new tab</t>
  </si>
  <si>
    <t>Twitter, Facebook, and LinkedIn links open the correct external pages in a new tab.</t>
  </si>
  <si>
    <t>All three social icons in the footer (Twitter/X, Facebook, LinkedIn) open the corresponding Sauce Labs official pages in a new tab. Twitter/X opens twitter.com/saucelabs, Facebook opens facebook.com/saucelabs, LinkedIn opens linkedin.com/company/sauce-labs/. All correct.</t>
  </si>
  <si>
    <t>Note: Twitter has rebranded to X — Sauce Labs may eventually update icon. Currently still labeled Twitter.</t>
  </si>
  <si>
    <t>Test Execution Summary — SauceDemo</t>
  </si>
  <si>
    <t>Project:</t>
  </si>
  <si>
    <t>SauceDemo Manual Testing</t>
  </si>
  <si>
    <t>Tester:</t>
  </si>
  <si>
    <t>Adrian-Ștefan Sămărtean</t>
  </si>
  <si>
    <t>Execution Date:</t>
  </si>
  <si>
    <t>Total Test Cases:</t>
  </si>
  <si>
    <t>Metric</t>
  </si>
  <si>
    <t>Count</t>
  </si>
  <si>
    <t>Percentage</t>
  </si>
  <si>
    <t>Total Test Cases</t>
  </si>
  <si>
    <t>Passed</t>
  </si>
  <si>
    <t>Failed</t>
  </si>
  <si>
    <t>Blocked</t>
  </si>
  <si>
    <t>Not Run</t>
  </si>
  <si>
    <t>Bug Severity Breakdown</t>
  </si>
  <si>
    <t>Severity</t>
  </si>
  <si>
    <t>Critical</t>
  </si>
  <si>
    <t>Conclusions</t>
  </si>
  <si>
    <t>• 27 of 32 test cases passed (84.4%) — main happy paths work correctly.</t>
  </si>
  <si>
    <t>• 5 test cases failed, all linked to documented defects (BUG_001 through BUG_005).</t>
  </si>
  <si>
    <t>• Critical flows (login, add to cart, checkout) function as expected for standard_user.</t>
  </si>
  <si>
    <t>• Defects concentrated in: special user types (problem_user, performance_glitch_user, visual_user) and 'Reset App State' flow.</t>
  </si>
  <si>
    <t>• No Critical-severity defects found; 1 High and 4 Medium reported.</t>
  </si>
  <si>
    <t>• Recommendation: address BUG_001 (Reset State inconsistency) and BUG_002 (problem_user images) as priority for next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</si>
</sst>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charset val="1"/>
    </font>
    <font>
      <b/>
      <sz val="11"/>
      <color rgb="FFFFFFFF"/>
      <name val="Calibri"/>
      <charset val="1"/>
    </font>
    <font>
      <sz val="10"/>
      <name val="Calibri"/>
      <charset val="1"/>
    </font>
    <font>
      <b/>
      <sz val="10"/>
      <color rgb="FF006100"/>
      <name val="Calibri"/>
      <charset val="1"/>
    </font>
    <font>
      <b/>
      <sz val="10"/>
      <color rgb="FF9C0006"/>
      <name val="Calibri"/>
      <charset val="1"/>
    </font>
    <font>
      <b/>
      <sz val="16"/>
      <color rgb="FF1F4E79"/>
      <name val="Calibri"/>
      <charset val="1"/>
    </font>
    <font>
      <b/>
      <sz val="11"/>
      <name val="Calibri"/>
      <charset val="1"/>
    </font>
    <font>
      <sz val="11"/>
      <name val="Calibri"/>
      <charset val="1"/>
    </font>
    <font>
      <b/>
      <sz val="13"/>
      <color rgb="FF1F4E79"/>
      <name val="Calibri"/>
      <charset val="1"/>
    </font>
  </fonts>
  <fills count="8">
    <fill>
      <patternFill patternType="none"/>
    </fill>
    <fill>
      <patternFill patternType="gray125"/>
    </fill>
    <fill>
      <patternFill patternType="solid">
        <fgColor rgb="FF1F4E79"/>
        <bgColor rgb="FF003366"/>
      </patternFill>
    </fill>
    <fill>
      <patternFill patternType="solid">
        <fgColor rgb="FFF8CECC"/>
        <bgColor rgb="FFCCCCCC"/>
      </patternFill>
    </fill>
    <fill>
      <patternFill patternType="solid">
        <fgColor rgb="FFD5E8D4"/>
        <bgColor rgb="FFEEEEEE"/>
      </patternFill>
    </fill>
    <fill>
      <patternFill patternType="solid">
        <fgColor rgb="FFFFE699"/>
        <bgColor rgb="FFF8CECC"/>
      </patternFill>
    </fill>
    <fill>
      <patternFill patternType="solid">
        <fgColor rgb="FFEEEEEE"/>
        <bgColor rgb="FFD5E8D4"/>
      </patternFill>
    </fill>
    <fill>
      <patternFill patternType="solid">
        <fgColor rgb="FFC00000"/>
        <bgColor rgb="FF9C000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2" fillId="5" borderId="1" xfId="0" applyFont="1" applyFill="1" applyBorder="1" applyAlignment="1">
      <alignment vertical="top" wrapText="1"/>
    </xf>
    <xf numFmtId="0" fontId="4" fillId="3" borderId="1" xfId="0" applyFont="1" applyFill="1" applyBorder="1" applyAlignment="1">
      <alignment vertical="top" wrapText="1"/>
    </xf>
    <xf numFmtId="0" fontId="2" fillId="4" borderId="1" xfId="0" applyFont="1" applyFill="1" applyBorder="1" applyAlignment="1">
      <alignment vertical="top" wrapText="1"/>
    </xf>
    <xf numFmtId="0" fontId="6" fillId="0" borderId="0" xfId="0" applyFont="1"/>
    <xf numFmtId="0" fontId="1" fillId="2" borderId="1" xfId="0" applyFont="1" applyFill="1" applyBorder="1" applyAlignment="1">
      <alignment horizontal="center"/>
    </xf>
    <xf numFmtId="0" fontId="6" fillId="0" borderId="1" xfId="0" applyFont="1" applyBorder="1"/>
    <xf numFmtId="0" fontId="0" fillId="0" borderId="1" xfId="0" applyBorder="1" applyAlignment="1">
      <alignment horizontal="center"/>
    </xf>
    <xf numFmtId="164" fontId="0" fillId="0" borderId="1" xfId="0" applyNumberFormat="1" applyBorder="1" applyAlignment="1">
      <alignment horizontal="center"/>
    </xf>
    <xf numFmtId="0" fontId="7" fillId="4" borderId="1" xfId="0" applyFont="1" applyFill="1" applyBorder="1"/>
    <xf numFmtId="0" fontId="0" fillId="4" borderId="1" xfId="0" applyFill="1" applyBorder="1" applyAlignment="1">
      <alignment horizontal="center"/>
    </xf>
    <xf numFmtId="164" fontId="0" fillId="4" borderId="1" xfId="0" applyNumberFormat="1" applyFill="1" applyBorder="1" applyAlignment="1">
      <alignment horizontal="center"/>
    </xf>
    <xf numFmtId="0" fontId="7" fillId="3" borderId="1" xfId="0" applyFont="1" applyFill="1" applyBorder="1"/>
    <xf numFmtId="0" fontId="0" fillId="3" borderId="1" xfId="0" applyFill="1" applyBorder="1" applyAlignment="1">
      <alignment horizontal="center"/>
    </xf>
    <xf numFmtId="164" fontId="0" fillId="3" borderId="1" xfId="0" applyNumberFormat="1" applyFill="1" applyBorder="1" applyAlignment="1">
      <alignment horizontal="center"/>
    </xf>
    <xf numFmtId="0" fontId="7" fillId="5" borderId="1" xfId="0" applyFont="1" applyFill="1" applyBorder="1"/>
    <xf numFmtId="0" fontId="0" fillId="5" borderId="1" xfId="0" applyFill="1" applyBorder="1" applyAlignment="1">
      <alignment horizontal="center"/>
    </xf>
    <xf numFmtId="164" fontId="0" fillId="5" borderId="1" xfId="0" applyNumberFormat="1" applyFill="1" applyBorder="1" applyAlignment="1">
      <alignment horizontal="center"/>
    </xf>
    <xf numFmtId="0" fontId="7" fillId="6" borderId="1" xfId="0" applyFont="1" applyFill="1" applyBorder="1"/>
    <xf numFmtId="0" fontId="0" fillId="6" borderId="1" xfId="0" applyFill="1" applyBorder="1" applyAlignment="1">
      <alignment horizontal="center"/>
    </xf>
    <xf numFmtId="164" fontId="0" fillId="6" borderId="1" xfId="0" applyNumberFormat="1" applyFill="1" applyBorder="1" applyAlignment="1">
      <alignment horizontal="center"/>
    </xf>
    <xf numFmtId="0" fontId="8" fillId="0" borderId="0" xfId="0" applyFont="1"/>
    <xf numFmtId="0" fontId="1" fillId="7" borderId="1" xfId="0" applyFont="1" applyFill="1" applyBorder="1" applyAlignment="1">
      <alignment horizontal="left"/>
    </xf>
    <xf numFmtId="0" fontId="1" fillId="7" borderId="1" xfId="0" applyFont="1" applyFill="1" applyBorder="1" applyAlignment="1">
      <alignment horizontal="center"/>
    </xf>
    <xf numFmtId="0" fontId="0" fillId="3" borderId="1" xfId="0" applyFill="1" applyBorder="1" applyAlignment="1">
      <alignment horizontal="left"/>
    </xf>
    <xf numFmtId="0" fontId="0" fillId="5" borderId="1" xfId="0" applyFill="1" applyBorder="1" applyAlignment="1">
      <alignment horizontal="left"/>
    </xf>
    <xf numFmtId="0" fontId="0" fillId="4" borderId="1" xfId="0" applyFill="1" applyBorder="1" applyAlignment="1">
      <alignment horizontal="left"/>
    </xf>
    <xf numFmtId="14" fontId="2" fillId="0" borderId="1" xfId="0" applyNumberFormat="1" applyFont="1" applyBorder="1" applyAlignment="1">
      <alignment vertical="top" wrapText="1"/>
    </xf>
    <xf numFmtId="0" fontId="7" fillId="0" borderId="0" xfId="0" applyFont="1"/>
    <xf numFmtId="0" fontId="5" fillId="0" borderId="0" xfId="0" applyFont="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CCCCCC"/>
      <rgbColor rgb="FF808080"/>
      <rgbColor rgb="FF9999FF"/>
      <rgbColor rgb="FF993366"/>
      <rgbColor rgb="FFEEEEE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E8D4"/>
      <rgbColor rgb="FFFFE699"/>
      <rgbColor rgb="FF99CCFF"/>
      <rgbColor rgb="FFFF99CC"/>
      <rgbColor rgb="FFCC99FF"/>
      <rgbColor rgb="FFF8CE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5"/>
  <sheetViews>
    <sheetView zoomScaleNormal="100" workbookViewId="0">
      <pane ySplit="1" topLeftCell="A2" activePane="bottomLeft" state="frozen"/>
      <selection pane="bottomLeft" activeCell="M2" sqref="M2"/>
    </sheetView>
  </sheetViews>
  <sheetFormatPr defaultColWidth="8.7109375" defaultRowHeight="15" x14ac:dyDescent="0.25"/>
  <cols>
    <col min="1" max="1" width="13" customWidth="1"/>
    <col min="2" max="2" width="12" customWidth="1"/>
    <col min="3" max="3" width="32" customWidth="1"/>
    <col min="4" max="4" width="38" customWidth="1"/>
    <col min="5" max="5" width="10" customWidth="1"/>
    <col min="6" max="6" width="28" customWidth="1"/>
    <col min="7" max="7" width="45" customWidth="1"/>
    <col min="8" max="8" width="26" customWidth="1"/>
    <col min="9" max="9" width="45" customWidth="1"/>
    <col min="10" max="10" width="50" customWidth="1"/>
    <col min="11" max="11" width="11" customWidth="1"/>
    <col min="12" max="12" width="10" customWidth="1"/>
    <col min="13" max="13" width="14" customWidth="1"/>
    <col min="14" max="14" width="10" customWidth="1"/>
    <col min="15" max="15" width="30" customWidth="1"/>
  </cols>
  <sheetData>
    <row r="1" spans="1:15" ht="3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09.5" customHeight="1" x14ac:dyDescent="0.25">
      <c r="A2" s="2" t="s">
        <v>15</v>
      </c>
      <c r="B2" s="2" t="s">
        <v>16</v>
      </c>
      <c r="C2" s="2" t="s">
        <v>17</v>
      </c>
      <c r="D2" s="2" t="s">
        <v>18</v>
      </c>
      <c r="E2" s="3" t="s">
        <v>19</v>
      </c>
      <c r="F2" s="2" t="s">
        <v>20</v>
      </c>
      <c r="G2" s="2" t="s">
        <v>21</v>
      </c>
      <c r="H2" s="2" t="s">
        <v>22</v>
      </c>
      <c r="I2" s="2" t="s">
        <v>23</v>
      </c>
      <c r="J2" s="2" t="s">
        <v>24</v>
      </c>
      <c r="K2" s="4" t="s">
        <v>25</v>
      </c>
      <c r="L2" s="2" t="s">
        <v>26</v>
      </c>
      <c r="M2" s="31">
        <v>45939</v>
      </c>
      <c r="N2" s="2"/>
      <c r="O2" s="2" t="s">
        <v>28</v>
      </c>
    </row>
    <row r="3" spans="1:15" ht="109.5" customHeight="1" x14ac:dyDescent="0.25">
      <c r="A3" s="2" t="s">
        <v>29</v>
      </c>
      <c r="B3" s="2" t="s">
        <v>16</v>
      </c>
      <c r="C3" s="2" t="s">
        <v>30</v>
      </c>
      <c r="D3" s="2" t="s">
        <v>31</v>
      </c>
      <c r="E3" s="3" t="s">
        <v>19</v>
      </c>
      <c r="F3" s="2" t="s">
        <v>32</v>
      </c>
      <c r="G3" s="2" t="s">
        <v>33</v>
      </c>
      <c r="H3" s="2" t="s">
        <v>34</v>
      </c>
      <c r="I3" s="2" t="s">
        <v>35</v>
      </c>
      <c r="J3" s="2" t="s">
        <v>36</v>
      </c>
      <c r="K3" s="4" t="s">
        <v>25</v>
      </c>
      <c r="L3" s="2" t="s">
        <v>26</v>
      </c>
      <c r="M3" s="31">
        <v>45939</v>
      </c>
      <c r="N3" s="2"/>
      <c r="O3" s="2" t="s">
        <v>37</v>
      </c>
    </row>
    <row r="4" spans="1:15" ht="109.5" customHeight="1" x14ac:dyDescent="0.25">
      <c r="A4" s="2" t="s">
        <v>38</v>
      </c>
      <c r="B4" s="2" t="s">
        <v>16</v>
      </c>
      <c r="C4" s="2" t="s">
        <v>39</v>
      </c>
      <c r="D4" s="2" t="s">
        <v>40</v>
      </c>
      <c r="E4" s="5" t="s">
        <v>41</v>
      </c>
      <c r="F4" s="2" t="s">
        <v>32</v>
      </c>
      <c r="G4" s="2" t="s">
        <v>42</v>
      </c>
      <c r="H4" s="2" t="s">
        <v>43</v>
      </c>
      <c r="I4" s="2" t="s">
        <v>44</v>
      </c>
      <c r="J4" s="2" t="s">
        <v>45</v>
      </c>
      <c r="K4" s="4" t="s">
        <v>25</v>
      </c>
      <c r="L4" s="2" t="s">
        <v>26</v>
      </c>
      <c r="M4" s="31">
        <v>45939</v>
      </c>
      <c r="N4" s="2"/>
      <c r="O4" s="2" t="s">
        <v>46</v>
      </c>
    </row>
    <row r="5" spans="1:15" ht="109.5" customHeight="1" x14ac:dyDescent="0.25">
      <c r="A5" s="2" t="s">
        <v>47</v>
      </c>
      <c r="B5" s="2" t="s">
        <v>16</v>
      </c>
      <c r="C5" s="2" t="s">
        <v>48</v>
      </c>
      <c r="D5" s="2" t="s">
        <v>49</v>
      </c>
      <c r="E5" s="5" t="s">
        <v>41</v>
      </c>
      <c r="F5" s="2" t="s">
        <v>32</v>
      </c>
      <c r="G5" s="2" t="s">
        <v>50</v>
      </c>
      <c r="H5" s="2" t="s">
        <v>51</v>
      </c>
      <c r="I5" s="2" t="s">
        <v>52</v>
      </c>
      <c r="J5" s="2" t="s">
        <v>53</v>
      </c>
      <c r="K5" s="4" t="s">
        <v>25</v>
      </c>
      <c r="L5" s="2" t="s">
        <v>26</v>
      </c>
      <c r="M5" s="31">
        <v>45939</v>
      </c>
      <c r="N5" s="2"/>
      <c r="O5" s="2"/>
    </row>
    <row r="6" spans="1:15" ht="109.5" customHeight="1" x14ac:dyDescent="0.25">
      <c r="A6" s="2" t="s">
        <v>54</v>
      </c>
      <c r="B6" s="2" t="s">
        <v>16</v>
      </c>
      <c r="C6" s="2" t="s">
        <v>55</v>
      </c>
      <c r="D6" s="2" t="s">
        <v>56</v>
      </c>
      <c r="E6" s="3" t="s">
        <v>19</v>
      </c>
      <c r="F6" s="2" t="s">
        <v>32</v>
      </c>
      <c r="G6" s="2" t="s">
        <v>57</v>
      </c>
      <c r="H6" s="2" t="s">
        <v>58</v>
      </c>
      <c r="I6" s="2" t="s">
        <v>59</v>
      </c>
      <c r="J6" s="2" t="s">
        <v>60</v>
      </c>
      <c r="K6" s="4" t="s">
        <v>25</v>
      </c>
      <c r="L6" s="2" t="s">
        <v>26</v>
      </c>
      <c r="M6" s="31">
        <v>45939</v>
      </c>
      <c r="N6" s="2"/>
      <c r="O6" s="2"/>
    </row>
    <row r="7" spans="1:15" ht="109.5" customHeight="1" x14ac:dyDescent="0.25">
      <c r="A7" s="2" t="s">
        <v>61</v>
      </c>
      <c r="B7" s="2" t="s">
        <v>16</v>
      </c>
      <c r="C7" s="2" t="s">
        <v>62</v>
      </c>
      <c r="D7" s="2" t="s">
        <v>63</v>
      </c>
      <c r="E7" s="5" t="s">
        <v>41</v>
      </c>
      <c r="F7" s="2" t="s">
        <v>32</v>
      </c>
      <c r="G7" s="2" t="s">
        <v>64</v>
      </c>
      <c r="H7" s="2" t="s">
        <v>65</v>
      </c>
      <c r="I7" s="2" t="s">
        <v>66</v>
      </c>
      <c r="J7" s="2" t="s">
        <v>67</v>
      </c>
      <c r="K7" s="6" t="s">
        <v>68</v>
      </c>
      <c r="L7" s="2" t="s">
        <v>26</v>
      </c>
      <c r="M7" s="31">
        <v>45939</v>
      </c>
      <c r="N7" s="2" t="s">
        <v>69</v>
      </c>
      <c r="O7" s="2" t="s">
        <v>70</v>
      </c>
    </row>
    <row r="8" spans="1:15" ht="109.5" customHeight="1" x14ac:dyDescent="0.25">
      <c r="A8" s="2" t="s">
        <v>71</v>
      </c>
      <c r="B8" s="2" t="s">
        <v>16</v>
      </c>
      <c r="C8" s="2" t="s">
        <v>72</v>
      </c>
      <c r="D8" s="2" t="s">
        <v>73</v>
      </c>
      <c r="E8" s="5" t="s">
        <v>41</v>
      </c>
      <c r="F8" s="2" t="s">
        <v>32</v>
      </c>
      <c r="G8" s="2" t="s">
        <v>74</v>
      </c>
      <c r="H8" s="2" t="s">
        <v>75</v>
      </c>
      <c r="I8" s="2" t="s">
        <v>76</v>
      </c>
      <c r="J8" s="2" t="s">
        <v>77</v>
      </c>
      <c r="K8" s="6" t="s">
        <v>68</v>
      </c>
      <c r="L8" s="2" t="s">
        <v>26</v>
      </c>
      <c r="M8" s="31">
        <v>45939</v>
      </c>
      <c r="N8" s="2" t="s">
        <v>78</v>
      </c>
      <c r="O8" s="2" t="s">
        <v>79</v>
      </c>
    </row>
    <row r="9" spans="1:15" ht="109.5" customHeight="1" x14ac:dyDescent="0.25">
      <c r="A9" s="2" t="s">
        <v>80</v>
      </c>
      <c r="B9" s="2" t="s">
        <v>16</v>
      </c>
      <c r="C9" s="2" t="s">
        <v>81</v>
      </c>
      <c r="D9" s="2" t="s">
        <v>82</v>
      </c>
      <c r="E9" s="7" t="s">
        <v>83</v>
      </c>
      <c r="F9" s="2" t="s">
        <v>32</v>
      </c>
      <c r="G9" s="2" t="s">
        <v>84</v>
      </c>
      <c r="H9" s="2" t="s">
        <v>85</v>
      </c>
      <c r="I9" s="2" t="s">
        <v>86</v>
      </c>
      <c r="J9" s="2" t="s">
        <v>87</v>
      </c>
      <c r="K9" s="4" t="s">
        <v>25</v>
      </c>
      <c r="L9" s="2" t="s">
        <v>26</v>
      </c>
      <c r="M9" s="31">
        <v>45939</v>
      </c>
      <c r="N9" s="2"/>
      <c r="O9" s="2" t="s">
        <v>88</v>
      </c>
    </row>
    <row r="10" spans="1:15" ht="109.5" customHeight="1" x14ac:dyDescent="0.25">
      <c r="A10" s="2" t="s">
        <v>89</v>
      </c>
      <c r="B10" s="2" t="s">
        <v>90</v>
      </c>
      <c r="C10" s="2" t="s">
        <v>91</v>
      </c>
      <c r="D10" s="2" t="s">
        <v>92</v>
      </c>
      <c r="E10" s="3" t="s">
        <v>19</v>
      </c>
      <c r="F10" s="2" t="s">
        <v>93</v>
      </c>
      <c r="G10" s="2" t="s">
        <v>94</v>
      </c>
      <c r="H10" s="2" t="s">
        <v>95</v>
      </c>
      <c r="I10" s="2" t="s">
        <v>96</v>
      </c>
      <c r="J10" s="2" t="s">
        <v>97</v>
      </c>
      <c r="K10" s="4" t="s">
        <v>25</v>
      </c>
      <c r="L10" s="2" t="s">
        <v>26</v>
      </c>
      <c r="M10" s="31">
        <v>45939</v>
      </c>
      <c r="N10" s="2"/>
      <c r="O10" s="2"/>
    </row>
    <row r="11" spans="1:15" ht="109.5" customHeight="1" x14ac:dyDescent="0.25">
      <c r="A11" s="2" t="s">
        <v>98</v>
      </c>
      <c r="B11" s="2" t="s">
        <v>90</v>
      </c>
      <c r="C11" s="2" t="s">
        <v>99</v>
      </c>
      <c r="D11" s="2" t="s">
        <v>100</v>
      </c>
      <c r="E11" s="5" t="s">
        <v>41</v>
      </c>
      <c r="F11" s="2" t="s">
        <v>101</v>
      </c>
      <c r="G11" s="2" t="s">
        <v>102</v>
      </c>
      <c r="H11" s="2" t="s">
        <v>103</v>
      </c>
      <c r="I11" s="2" t="s">
        <v>104</v>
      </c>
      <c r="J11" s="2" t="s">
        <v>105</v>
      </c>
      <c r="K11" s="4" t="s">
        <v>25</v>
      </c>
      <c r="L11" s="2" t="s">
        <v>26</v>
      </c>
      <c r="M11" s="31">
        <v>45939</v>
      </c>
      <c r="N11" s="2"/>
      <c r="O11" s="2" t="s">
        <v>106</v>
      </c>
    </row>
    <row r="12" spans="1:15" ht="109.5" customHeight="1" x14ac:dyDescent="0.25">
      <c r="A12" s="2" t="s">
        <v>107</v>
      </c>
      <c r="B12" s="2" t="s">
        <v>90</v>
      </c>
      <c r="C12" s="2" t="s">
        <v>108</v>
      </c>
      <c r="D12" s="2" t="s">
        <v>109</v>
      </c>
      <c r="E12" s="5" t="s">
        <v>41</v>
      </c>
      <c r="F12" s="2" t="s">
        <v>101</v>
      </c>
      <c r="G12" s="2" t="s">
        <v>110</v>
      </c>
      <c r="H12" s="2" t="s">
        <v>111</v>
      </c>
      <c r="I12" s="2" t="s">
        <v>112</v>
      </c>
      <c r="J12" s="2" t="s">
        <v>113</v>
      </c>
      <c r="K12" s="4" t="s">
        <v>25</v>
      </c>
      <c r="L12" s="2" t="s">
        <v>26</v>
      </c>
      <c r="M12" s="31">
        <v>45939</v>
      </c>
      <c r="N12" s="2"/>
      <c r="O12" s="2"/>
    </row>
    <row r="13" spans="1:15" ht="109.5" customHeight="1" x14ac:dyDescent="0.25">
      <c r="A13" s="2" t="s">
        <v>114</v>
      </c>
      <c r="B13" s="2" t="s">
        <v>90</v>
      </c>
      <c r="C13" s="2" t="s">
        <v>115</v>
      </c>
      <c r="D13" s="2" t="s">
        <v>116</v>
      </c>
      <c r="E13" s="5" t="s">
        <v>41</v>
      </c>
      <c r="F13" s="2" t="s">
        <v>101</v>
      </c>
      <c r="G13" s="2" t="s">
        <v>117</v>
      </c>
      <c r="H13" s="2" t="s">
        <v>118</v>
      </c>
      <c r="I13" s="2" t="s">
        <v>119</v>
      </c>
      <c r="J13" s="2" t="s">
        <v>120</v>
      </c>
      <c r="K13" s="4" t="s">
        <v>25</v>
      </c>
      <c r="L13" s="2" t="s">
        <v>26</v>
      </c>
      <c r="M13" s="31">
        <v>45939</v>
      </c>
      <c r="N13" s="2"/>
      <c r="O13" s="2" t="s">
        <v>121</v>
      </c>
    </row>
    <row r="14" spans="1:15" ht="109.5" customHeight="1" x14ac:dyDescent="0.25">
      <c r="A14" s="2" t="s">
        <v>122</v>
      </c>
      <c r="B14" s="2" t="s">
        <v>90</v>
      </c>
      <c r="C14" s="2" t="s">
        <v>123</v>
      </c>
      <c r="D14" s="2" t="s">
        <v>124</v>
      </c>
      <c r="E14" s="5" t="s">
        <v>41</v>
      </c>
      <c r="F14" s="2" t="s">
        <v>101</v>
      </c>
      <c r="G14" s="2" t="s">
        <v>125</v>
      </c>
      <c r="H14" s="2" t="s">
        <v>126</v>
      </c>
      <c r="I14" s="2" t="s">
        <v>127</v>
      </c>
      <c r="J14" s="2" t="s">
        <v>128</v>
      </c>
      <c r="K14" s="4" t="s">
        <v>25</v>
      </c>
      <c r="L14" s="2" t="s">
        <v>26</v>
      </c>
      <c r="M14" s="31">
        <v>45939</v>
      </c>
      <c r="N14" s="2"/>
      <c r="O14" s="2"/>
    </row>
    <row r="15" spans="1:15" ht="109.5" customHeight="1" x14ac:dyDescent="0.25">
      <c r="A15" s="2" t="s">
        <v>129</v>
      </c>
      <c r="B15" s="2" t="s">
        <v>90</v>
      </c>
      <c r="C15" s="2" t="s">
        <v>130</v>
      </c>
      <c r="D15" s="2" t="s">
        <v>131</v>
      </c>
      <c r="E15" s="3" t="s">
        <v>19</v>
      </c>
      <c r="F15" s="2" t="s">
        <v>101</v>
      </c>
      <c r="G15" s="2" t="s">
        <v>132</v>
      </c>
      <c r="H15" s="2" t="s">
        <v>133</v>
      </c>
      <c r="I15" s="2" t="s">
        <v>134</v>
      </c>
      <c r="J15" s="2" t="s">
        <v>135</v>
      </c>
      <c r="K15" s="4" t="s">
        <v>25</v>
      </c>
      <c r="L15" s="2" t="s">
        <v>26</v>
      </c>
      <c r="M15" s="31">
        <v>45939</v>
      </c>
      <c r="N15" s="2"/>
      <c r="O15" s="2"/>
    </row>
    <row r="16" spans="1:15" ht="109.5" customHeight="1" x14ac:dyDescent="0.25">
      <c r="A16" s="2" t="s">
        <v>136</v>
      </c>
      <c r="B16" s="2" t="s">
        <v>137</v>
      </c>
      <c r="C16" s="2" t="s">
        <v>138</v>
      </c>
      <c r="D16" s="2" t="s">
        <v>139</v>
      </c>
      <c r="E16" s="3" t="s">
        <v>19</v>
      </c>
      <c r="F16" s="2" t="s">
        <v>101</v>
      </c>
      <c r="G16" s="2" t="s">
        <v>140</v>
      </c>
      <c r="H16" s="2" t="s">
        <v>133</v>
      </c>
      <c r="I16" s="2" t="s">
        <v>141</v>
      </c>
      <c r="J16" s="2" t="s">
        <v>142</v>
      </c>
      <c r="K16" s="4" t="s">
        <v>25</v>
      </c>
      <c r="L16" s="2" t="s">
        <v>26</v>
      </c>
      <c r="M16" s="31">
        <v>45939</v>
      </c>
      <c r="N16" s="2"/>
      <c r="O16" s="2"/>
    </row>
    <row r="17" spans="1:15" ht="109.5" customHeight="1" x14ac:dyDescent="0.25">
      <c r="A17" s="2" t="s">
        <v>143</v>
      </c>
      <c r="B17" s="2" t="s">
        <v>137</v>
      </c>
      <c r="C17" s="2" t="s">
        <v>144</v>
      </c>
      <c r="D17" s="2" t="s">
        <v>145</v>
      </c>
      <c r="E17" s="3" t="s">
        <v>19</v>
      </c>
      <c r="F17" s="2" t="s">
        <v>101</v>
      </c>
      <c r="G17" s="2" t="s">
        <v>146</v>
      </c>
      <c r="H17" s="2" t="s">
        <v>147</v>
      </c>
      <c r="I17" s="2" t="s">
        <v>148</v>
      </c>
      <c r="J17" s="2" t="s">
        <v>149</v>
      </c>
      <c r="K17" s="4" t="s">
        <v>25</v>
      </c>
      <c r="L17" s="2" t="s">
        <v>26</v>
      </c>
      <c r="M17" s="31">
        <v>45939</v>
      </c>
      <c r="N17" s="2"/>
      <c r="O17" s="2"/>
    </row>
    <row r="18" spans="1:15" ht="109.5" customHeight="1" x14ac:dyDescent="0.25">
      <c r="A18" s="2" t="s">
        <v>150</v>
      </c>
      <c r="B18" s="2" t="s">
        <v>137</v>
      </c>
      <c r="C18" s="2" t="s">
        <v>151</v>
      </c>
      <c r="D18" s="2" t="s">
        <v>152</v>
      </c>
      <c r="E18" s="3" t="s">
        <v>19</v>
      </c>
      <c r="F18" s="2" t="s">
        <v>153</v>
      </c>
      <c r="G18" s="2" t="s">
        <v>154</v>
      </c>
      <c r="H18" s="2" t="s">
        <v>155</v>
      </c>
      <c r="I18" s="2" t="s">
        <v>156</v>
      </c>
      <c r="J18" s="2" t="s">
        <v>157</v>
      </c>
      <c r="K18" s="4" t="s">
        <v>25</v>
      </c>
      <c r="L18" s="2" t="s">
        <v>26</v>
      </c>
      <c r="M18" s="31">
        <v>45939</v>
      </c>
      <c r="N18" s="2"/>
      <c r="O18" s="2"/>
    </row>
    <row r="19" spans="1:15" ht="109.5" customHeight="1" x14ac:dyDescent="0.25">
      <c r="A19" s="2" t="s">
        <v>158</v>
      </c>
      <c r="B19" s="2" t="s">
        <v>137</v>
      </c>
      <c r="C19" s="2" t="s">
        <v>159</v>
      </c>
      <c r="D19" s="2" t="s">
        <v>160</v>
      </c>
      <c r="E19" s="3" t="s">
        <v>19</v>
      </c>
      <c r="F19" s="2" t="s">
        <v>161</v>
      </c>
      <c r="G19" s="2" t="s">
        <v>162</v>
      </c>
      <c r="H19" s="2" t="s">
        <v>163</v>
      </c>
      <c r="I19" s="2" t="s">
        <v>164</v>
      </c>
      <c r="J19" s="2" t="s">
        <v>165</v>
      </c>
      <c r="K19" s="4" t="s">
        <v>25</v>
      </c>
      <c r="L19" s="2" t="s">
        <v>26</v>
      </c>
      <c r="M19" s="31">
        <v>45939</v>
      </c>
      <c r="N19" s="2"/>
      <c r="O19" s="2"/>
    </row>
    <row r="20" spans="1:15" ht="109.5" customHeight="1" x14ac:dyDescent="0.25">
      <c r="A20" s="2" t="s">
        <v>166</v>
      </c>
      <c r="B20" s="2" t="s">
        <v>137</v>
      </c>
      <c r="C20" s="2" t="s">
        <v>167</v>
      </c>
      <c r="D20" s="2" t="s">
        <v>168</v>
      </c>
      <c r="E20" s="5" t="s">
        <v>41</v>
      </c>
      <c r="F20" s="2" t="s">
        <v>169</v>
      </c>
      <c r="G20" s="2" t="s">
        <v>170</v>
      </c>
      <c r="H20" s="2" t="s">
        <v>171</v>
      </c>
      <c r="I20" s="2" t="s">
        <v>172</v>
      </c>
      <c r="J20" s="2" t="s">
        <v>173</v>
      </c>
      <c r="K20" s="4" t="s">
        <v>25</v>
      </c>
      <c r="L20" s="2" t="s">
        <v>26</v>
      </c>
      <c r="M20" s="31">
        <v>45939</v>
      </c>
      <c r="N20" s="2"/>
      <c r="O20" s="2"/>
    </row>
    <row r="21" spans="1:15" ht="109.5" customHeight="1" x14ac:dyDescent="0.25">
      <c r="A21" s="2" t="s">
        <v>174</v>
      </c>
      <c r="B21" s="2" t="s">
        <v>137</v>
      </c>
      <c r="C21" s="2" t="s">
        <v>175</v>
      </c>
      <c r="D21" s="2" t="s">
        <v>176</v>
      </c>
      <c r="E21" s="7" t="s">
        <v>83</v>
      </c>
      <c r="F21" s="2" t="s">
        <v>177</v>
      </c>
      <c r="G21" s="2" t="s">
        <v>178</v>
      </c>
      <c r="H21" s="2" t="s">
        <v>179</v>
      </c>
      <c r="I21" s="2" t="s">
        <v>180</v>
      </c>
      <c r="J21" s="2" t="s">
        <v>181</v>
      </c>
      <c r="K21" s="4" t="s">
        <v>25</v>
      </c>
      <c r="L21" s="2" t="s">
        <v>26</v>
      </c>
      <c r="M21" s="31">
        <v>45939</v>
      </c>
      <c r="N21" s="2"/>
      <c r="O21" s="2"/>
    </row>
    <row r="22" spans="1:15" ht="109.5" customHeight="1" x14ac:dyDescent="0.25">
      <c r="A22" s="2" t="s">
        <v>182</v>
      </c>
      <c r="B22" s="2" t="s">
        <v>137</v>
      </c>
      <c r="C22" s="2" t="s">
        <v>183</v>
      </c>
      <c r="D22" s="2" t="s">
        <v>184</v>
      </c>
      <c r="E22" s="5" t="s">
        <v>41</v>
      </c>
      <c r="F22" s="2" t="s">
        <v>185</v>
      </c>
      <c r="G22" s="2" t="s">
        <v>186</v>
      </c>
      <c r="H22" s="2" t="s">
        <v>95</v>
      </c>
      <c r="I22" s="2" t="s">
        <v>187</v>
      </c>
      <c r="J22" s="2" t="s">
        <v>188</v>
      </c>
      <c r="K22" s="4" t="s">
        <v>25</v>
      </c>
      <c r="L22" s="2" t="s">
        <v>26</v>
      </c>
      <c r="M22" s="31">
        <v>45939</v>
      </c>
      <c r="N22" s="2"/>
      <c r="O22" s="2" t="s">
        <v>189</v>
      </c>
    </row>
    <row r="23" spans="1:15" ht="109.5" customHeight="1" x14ac:dyDescent="0.25">
      <c r="A23" s="2" t="s">
        <v>190</v>
      </c>
      <c r="B23" s="2" t="s">
        <v>191</v>
      </c>
      <c r="C23" s="2" t="s">
        <v>192</v>
      </c>
      <c r="D23" s="2" t="s">
        <v>193</v>
      </c>
      <c r="E23" s="5" t="s">
        <v>41</v>
      </c>
      <c r="F23" s="2" t="s">
        <v>194</v>
      </c>
      <c r="G23" s="2" t="s">
        <v>195</v>
      </c>
      <c r="H23" s="2" t="s">
        <v>196</v>
      </c>
      <c r="I23" s="2" t="s">
        <v>197</v>
      </c>
      <c r="J23" s="2" t="s">
        <v>198</v>
      </c>
      <c r="K23" s="6" t="s">
        <v>68</v>
      </c>
      <c r="L23" s="2" t="s">
        <v>26</v>
      </c>
      <c r="M23" s="31">
        <v>45939</v>
      </c>
      <c r="N23" s="2" t="s">
        <v>199</v>
      </c>
      <c r="O23" s="2" t="s">
        <v>200</v>
      </c>
    </row>
    <row r="24" spans="1:15" ht="109.5" customHeight="1" x14ac:dyDescent="0.25">
      <c r="A24" s="2" t="s">
        <v>201</v>
      </c>
      <c r="B24" s="2" t="s">
        <v>191</v>
      </c>
      <c r="C24" s="2" t="s">
        <v>202</v>
      </c>
      <c r="D24" s="2" t="s">
        <v>203</v>
      </c>
      <c r="E24" s="3" t="s">
        <v>19</v>
      </c>
      <c r="F24" s="2" t="s">
        <v>204</v>
      </c>
      <c r="G24" s="2" t="s">
        <v>205</v>
      </c>
      <c r="H24" s="2" t="s">
        <v>206</v>
      </c>
      <c r="I24" s="2" t="s">
        <v>207</v>
      </c>
      <c r="J24" s="2" t="s">
        <v>208</v>
      </c>
      <c r="K24" s="4" t="s">
        <v>25</v>
      </c>
      <c r="L24" s="2" t="s">
        <v>26</v>
      </c>
      <c r="M24" s="31">
        <v>45939</v>
      </c>
      <c r="N24" s="2"/>
      <c r="O24" s="2" t="s">
        <v>209</v>
      </c>
    </row>
    <row r="25" spans="1:15" ht="109.5" customHeight="1" x14ac:dyDescent="0.25">
      <c r="A25" s="2" t="s">
        <v>210</v>
      </c>
      <c r="B25" s="2" t="s">
        <v>191</v>
      </c>
      <c r="C25" s="2" t="s">
        <v>211</v>
      </c>
      <c r="D25" s="2" t="s">
        <v>212</v>
      </c>
      <c r="E25" s="3" t="s">
        <v>19</v>
      </c>
      <c r="F25" s="2" t="s">
        <v>213</v>
      </c>
      <c r="G25" s="2" t="s">
        <v>214</v>
      </c>
      <c r="H25" s="2" t="s">
        <v>215</v>
      </c>
      <c r="I25" s="2" t="s">
        <v>216</v>
      </c>
      <c r="J25" s="2" t="s">
        <v>217</v>
      </c>
      <c r="K25" s="4" t="s">
        <v>25</v>
      </c>
      <c r="L25" s="2" t="s">
        <v>26</v>
      </c>
      <c r="M25" s="31">
        <v>45939</v>
      </c>
      <c r="N25" s="2"/>
      <c r="O25" s="2"/>
    </row>
    <row r="26" spans="1:15" ht="109.5" customHeight="1" x14ac:dyDescent="0.25">
      <c r="A26" s="2" t="s">
        <v>218</v>
      </c>
      <c r="B26" s="2" t="s">
        <v>191</v>
      </c>
      <c r="C26" s="2" t="s">
        <v>219</v>
      </c>
      <c r="D26" s="2" t="s">
        <v>220</v>
      </c>
      <c r="E26" s="3" t="s">
        <v>19</v>
      </c>
      <c r="F26" s="2" t="s">
        <v>213</v>
      </c>
      <c r="G26" s="2" t="s">
        <v>221</v>
      </c>
      <c r="H26" s="2" t="s">
        <v>222</v>
      </c>
      <c r="I26" s="2" t="s">
        <v>223</v>
      </c>
      <c r="J26" s="2" t="s">
        <v>224</v>
      </c>
      <c r="K26" s="4" t="s">
        <v>25</v>
      </c>
      <c r="L26" s="2" t="s">
        <v>26</v>
      </c>
      <c r="M26" s="31">
        <v>45939</v>
      </c>
      <c r="N26" s="2"/>
      <c r="O26" s="2"/>
    </row>
    <row r="27" spans="1:15" ht="109.5" customHeight="1" x14ac:dyDescent="0.25">
      <c r="A27" s="2" t="s">
        <v>225</v>
      </c>
      <c r="B27" s="2" t="s">
        <v>191</v>
      </c>
      <c r="C27" s="2" t="s">
        <v>226</v>
      </c>
      <c r="D27" s="2" t="s">
        <v>227</v>
      </c>
      <c r="E27" s="3" t="s">
        <v>19</v>
      </c>
      <c r="F27" s="2" t="s">
        <v>213</v>
      </c>
      <c r="G27" s="2" t="s">
        <v>228</v>
      </c>
      <c r="H27" s="2" t="s">
        <v>229</v>
      </c>
      <c r="I27" s="2" t="s">
        <v>230</v>
      </c>
      <c r="J27" s="2" t="s">
        <v>231</v>
      </c>
      <c r="K27" s="4" t="s">
        <v>25</v>
      </c>
      <c r="L27" s="2" t="s">
        <v>26</v>
      </c>
      <c r="M27" s="31">
        <v>45939</v>
      </c>
      <c r="N27" s="2"/>
      <c r="O27" s="2" t="s">
        <v>232</v>
      </c>
    </row>
    <row r="28" spans="1:15" ht="109.5" customHeight="1" x14ac:dyDescent="0.25">
      <c r="A28" s="2" t="s">
        <v>233</v>
      </c>
      <c r="B28" s="2" t="s">
        <v>191</v>
      </c>
      <c r="C28" s="2" t="s">
        <v>234</v>
      </c>
      <c r="D28" s="2" t="s">
        <v>235</v>
      </c>
      <c r="E28" s="3" t="s">
        <v>19</v>
      </c>
      <c r="F28" s="2" t="s">
        <v>236</v>
      </c>
      <c r="G28" s="2" t="s">
        <v>237</v>
      </c>
      <c r="H28" s="2" t="s">
        <v>238</v>
      </c>
      <c r="I28" s="2" t="s">
        <v>239</v>
      </c>
      <c r="J28" s="2" t="s">
        <v>240</v>
      </c>
      <c r="K28" s="4" t="s">
        <v>25</v>
      </c>
      <c r="L28" s="2" t="s">
        <v>26</v>
      </c>
      <c r="M28" s="31">
        <v>45939</v>
      </c>
      <c r="N28" s="2"/>
      <c r="O28" s="2" t="s">
        <v>241</v>
      </c>
    </row>
    <row r="29" spans="1:15" ht="109.5" customHeight="1" x14ac:dyDescent="0.25">
      <c r="A29" s="2" t="s">
        <v>242</v>
      </c>
      <c r="B29" s="2" t="s">
        <v>191</v>
      </c>
      <c r="C29" s="2" t="s">
        <v>243</v>
      </c>
      <c r="D29" s="2" t="s">
        <v>244</v>
      </c>
      <c r="E29" s="7" t="s">
        <v>83</v>
      </c>
      <c r="F29" s="2" t="s">
        <v>213</v>
      </c>
      <c r="G29" s="2" t="s">
        <v>245</v>
      </c>
      <c r="H29" s="2" t="s">
        <v>179</v>
      </c>
      <c r="I29" s="2" t="s">
        <v>246</v>
      </c>
      <c r="J29" s="2" t="s">
        <v>247</v>
      </c>
      <c r="K29" s="4" t="s">
        <v>25</v>
      </c>
      <c r="L29" s="2" t="s">
        <v>26</v>
      </c>
      <c r="M29" s="31">
        <v>45939</v>
      </c>
      <c r="N29" s="2"/>
      <c r="O29" s="2"/>
    </row>
    <row r="30" spans="1:15" ht="109.5" customHeight="1" x14ac:dyDescent="0.25">
      <c r="A30" s="2" t="s">
        <v>248</v>
      </c>
      <c r="B30" s="2" t="s">
        <v>191</v>
      </c>
      <c r="C30" s="2" t="s">
        <v>249</v>
      </c>
      <c r="D30" s="2" t="s">
        <v>250</v>
      </c>
      <c r="E30" s="7" t="s">
        <v>83</v>
      </c>
      <c r="F30" s="2" t="s">
        <v>251</v>
      </c>
      <c r="G30" s="2" t="s">
        <v>245</v>
      </c>
      <c r="H30" s="2" t="s">
        <v>179</v>
      </c>
      <c r="I30" s="2" t="s">
        <v>252</v>
      </c>
      <c r="J30" s="2" t="s">
        <v>253</v>
      </c>
      <c r="K30" s="4" t="s">
        <v>25</v>
      </c>
      <c r="L30" s="2" t="s">
        <v>26</v>
      </c>
      <c r="M30" s="31">
        <v>45939</v>
      </c>
      <c r="N30" s="2"/>
      <c r="O30" s="2" t="s">
        <v>254</v>
      </c>
    </row>
    <row r="31" spans="1:15" ht="109.5" customHeight="1" x14ac:dyDescent="0.25">
      <c r="A31" s="2" t="s">
        <v>255</v>
      </c>
      <c r="B31" s="2" t="s">
        <v>256</v>
      </c>
      <c r="C31" s="2" t="s">
        <v>257</v>
      </c>
      <c r="D31" s="2" t="s">
        <v>258</v>
      </c>
      <c r="E31" s="7" t="s">
        <v>83</v>
      </c>
      <c r="F31" s="2" t="s">
        <v>259</v>
      </c>
      <c r="G31" s="2" t="s">
        <v>260</v>
      </c>
      <c r="H31" s="2" t="s">
        <v>179</v>
      </c>
      <c r="I31" s="2" t="s">
        <v>261</v>
      </c>
      <c r="J31" s="2" t="s">
        <v>262</v>
      </c>
      <c r="K31" s="4" t="s">
        <v>25</v>
      </c>
      <c r="L31" s="2" t="s">
        <v>26</v>
      </c>
      <c r="M31" s="31">
        <v>45939</v>
      </c>
      <c r="N31" s="2"/>
      <c r="O31" s="2"/>
    </row>
    <row r="32" spans="1:15" ht="109.5" customHeight="1" x14ac:dyDescent="0.25">
      <c r="A32" s="2" t="s">
        <v>263</v>
      </c>
      <c r="B32" s="2" t="s">
        <v>256</v>
      </c>
      <c r="C32" s="2" t="s">
        <v>264</v>
      </c>
      <c r="D32" s="2" t="s">
        <v>265</v>
      </c>
      <c r="E32" s="3" t="s">
        <v>19</v>
      </c>
      <c r="F32" s="2" t="s">
        <v>259</v>
      </c>
      <c r="G32" s="2" t="s">
        <v>266</v>
      </c>
      <c r="H32" s="2" t="s">
        <v>179</v>
      </c>
      <c r="I32" s="2" t="s">
        <v>267</v>
      </c>
      <c r="J32" s="2" t="s">
        <v>268</v>
      </c>
      <c r="K32" s="4" t="s">
        <v>25</v>
      </c>
      <c r="L32" s="2" t="s">
        <v>26</v>
      </c>
      <c r="M32" s="31">
        <v>45939</v>
      </c>
      <c r="N32" s="2"/>
      <c r="O32" s="2" t="s">
        <v>269</v>
      </c>
    </row>
    <row r="33" spans="1:15" ht="109.5" customHeight="1" x14ac:dyDescent="0.25">
      <c r="A33" s="2" t="s">
        <v>270</v>
      </c>
      <c r="B33" s="2" t="s">
        <v>256</v>
      </c>
      <c r="C33" s="2" t="s">
        <v>271</v>
      </c>
      <c r="D33" s="2" t="s">
        <v>272</v>
      </c>
      <c r="E33" s="5" t="s">
        <v>41</v>
      </c>
      <c r="F33" s="2" t="s">
        <v>273</v>
      </c>
      <c r="G33" s="2" t="s">
        <v>274</v>
      </c>
      <c r="H33" s="2" t="s">
        <v>275</v>
      </c>
      <c r="I33" s="2" t="s">
        <v>276</v>
      </c>
      <c r="J33" s="2" t="s">
        <v>277</v>
      </c>
      <c r="K33" s="6" t="s">
        <v>68</v>
      </c>
      <c r="L33" s="2" t="s">
        <v>26</v>
      </c>
      <c r="M33" s="31">
        <v>45939</v>
      </c>
      <c r="N33" s="2" t="s">
        <v>278</v>
      </c>
      <c r="O33" s="2" t="s">
        <v>279</v>
      </c>
    </row>
    <row r="34" spans="1:15" ht="109.5" customHeight="1" x14ac:dyDescent="0.25">
      <c r="A34" s="2" t="s">
        <v>280</v>
      </c>
      <c r="B34" s="2" t="s">
        <v>281</v>
      </c>
      <c r="C34" s="2" t="s">
        <v>282</v>
      </c>
      <c r="D34" s="2" t="s">
        <v>283</v>
      </c>
      <c r="E34" s="5" t="s">
        <v>41</v>
      </c>
      <c r="F34" s="2" t="s">
        <v>32</v>
      </c>
      <c r="G34" s="2" t="s">
        <v>284</v>
      </c>
      <c r="H34" s="2" t="s">
        <v>285</v>
      </c>
      <c r="I34" s="2" t="s">
        <v>286</v>
      </c>
      <c r="J34" s="2" t="s">
        <v>287</v>
      </c>
      <c r="K34" s="6" t="s">
        <v>68</v>
      </c>
      <c r="L34" s="2" t="s">
        <v>26</v>
      </c>
      <c r="M34" s="31">
        <v>45939</v>
      </c>
      <c r="N34" s="2" t="s">
        <v>288</v>
      </c>
      <c r="O34" s="2" t="s">
        <v>289</v>
      </c>
    </row>
    <row r="35" spans="1:15" ht="109.5" customHeight="1" x14ac:dyDescent="0.25">
      <c r="A35" s="2" t="s">
        <v>290</v>
      </c>
      <c r="B35" s="2" t="s">
        <v>281</v>
      </c>
      <c r="C35" s="2" t="s">
        <v>291</v>
      </c>
      <c r="D35" s="2" t="s">
        <v>292</v>
      </c>
      <c r="E35" s="7" t="s">
        <v>83</v>
      </c>
      <c r="F35" s="2" t="s">
        <v>293</v>
      </c>
      <c r="G35" s="2" t="s">
        <v>294</v>
      </c>
      <c r="H35" s="2" t="s">
        <v>179</v>
      </c>
      <c r="I35" s="2" t="s">
        <v>295</v>
      </c>
      <c r="J35" s="2" t="s">
        <v>296</v>
      </c>
      <c r="K35" s="4" t="s">
        <v>25</v>
      </c>
      <c r="L35" s="2" t="s">
        <v>26</v>
      </c>
      <c r="M35" s="31">
        <v>45939</v>
      </c>
      <c r="N35" s="2"/>
      <c r="O35" s="2" t="s">
        <v>297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tabSelected="1" zoomScaleNormal="100" workbookViewId="0">
      <selection sqref="A1:D1"/>
    </sheetView>
  </sheetViews>
  <sheetFormatPr defaultColWidth="8.7109375" defaultRowHeight="15" x14ac:dyDescent="0.25"/>
  <cols>
    <col min="1" max="1" width="22" customWidth="1"/>
    <col min="2" max="2" width="12" customWidth="1"/>
    <col min="3" max="3" width="14" customWidth="1"/>
  </cols>
  <sheetData>
    <row r="1" spans="1:4" ht="27.75" customHeight="1" x14ac:dyDescent="0.35">
      <c r="A1" s="33" t="s">
        <v>298</v>
      </c>
      <c r="B1" s="33"/>
      <c r="C1" s="33"/>
      <c r="D1" s="33"/>
    </row>
    <row r="3" spans="1:4" x14ac:dyDescent="0.25">
      <c r="A3" s="8" t="s">
        <v>299</v>
      </c>
      <c r="B3" t="s">
        <v>300</v>
      </c>
    </row>
    <row r="4" spans="1:4" x14ac:dyDescent="0.25">
      <c r="A4" s="8" t="s">
        <v>301</v>
      </c>
      <c r="B4" t="s">
        <v>302</v>
      </c>
    </row>
    <row r="5" spans="1:4" x14ac:dyDescent="0.25">
      <c r="A5" s="8" t="s">
        <v>303</v>
      </c>
      <c r="B5" t="s">
        <v>27</v>
      </c>
    </row>
    <row r="6" spans="1:4" x14ac:dyDescent="0.25">
      <c r="A6" s="8" t="s">
        <v>304</v>
      </c>
      <c r="B6">
        <v>34</v>
      </c>
    </row>
    <row r="8" spans="1:4" x14ac:dyDescent="0.25">
      <c r="A8" s="9" t="s">
        <v>305</v>
      </c>
      <c r="B8" s="9" t="s">
        <v>306</v>
      </c>
      <c r="C8" s="9" t="s">
        <v>307</v>
      </c>
    </row>
    <row r="9" spans="1:4" x14ac:dyDescent="0.25">
      <c r="A9" s="10" t="s">
        <v>308</v>
      </c>
      <c r="B9" s="11">
        <f>COUNTA('Test Cases'!A2:A33)</f>
        <v>32</v>
      </c>
      <c r="C9" s="12">
        <f>B9/B9</f>
        <v>1</v>
      </c>
    </row>
    <row r="10" spans="1:4" x14ac:dyDescent="0.25">
      <c r="A10" s="13" t="s">
        <v>309</v>
      </c>
      <c r="B10" s="14">
        <f>COUNTIF('Test Cases'!K2:K33,"Pass")</f>
        <v>28</v>
      </c>
      <c r="C10" s="15">
        <f>B10/B9</f>
        <v>0.875</v>
      </c>
    </row>
    <row r="11" spans="1:4" x14ac:dyDescent="0.25">
      <c r="A11" s="16" t="s">
        <v>310</v>
      </c>
      <c r="B11" s="17">
        <f>COUNTIF('Test Cases'!K2:K33,"Fail")</f>
        <v>4</v>
      </c>
      <c r="C11" s="18">
        <f>B11/B9</f>
        <v>0.125</v>
      </c>
    </row>
    <row r="12" spans="1:4" x14ac:dyDescent="0.25">
      <c r="A12" s="19" t="s">
        <v>311</v>
      </c>
      <c r="B12" s="20">
        <f>COUNTIF('Test Cases'!K2:K33,"Blocked")</f>
        <v>0</v>
      </c>
      <c r="C12" s="21">
        <f>B12/B9</f>
        <v>0</v>
      </c>
    </row>
    <row r="13" spans="1:4" x14ac:dyDescent="0.25">
      <c r="A13" s="22" t="s">
        <v>312</v>
      </c>
      <c r="B13" s="23">
        <f>COUNTIF('Test Cases'!K2:K33,"Not Run")</f>
        <v>0</v>
      </c>
      <c r="C13" s="24">
        <f>B13/B9</f>
        <v>0</v>
      </c>
    </row>
    <row r="16" spans="1:4" ht="17.25" x14ac:dyDescent="0.3">
      <c r="A16" s="25" t="s">
        <v>313</v>
      </c>
    </row>
    <row r="17" spans="1:4" x14ac:dyDescent="0.25">
      <c r="A17" s="9" t="s">
        <v>314</v>
      </c>
      <c r="B17" s="9" t="s">
        <v>306</v>
      </c>
    </row>
    <row r="18" spans="1:4" x14ac:dyDescent="0.25">
      <c r="A18" s="26" t="s">
        <v>315</v>
      </c>
      <c r="B18" s="27">
        <v>0</v>
      </c>
    </row>
    <row r="19" spans="1:4" x14ac:dyDescent="0.25">
      <c r="A19" s="28" t="s">
        <v>19</v>
      </c>
      <c r="B19" s="17">
        <v>1</v>
      </c>
    </row>
    <row r="20" spans="1:4" x14ac:dyDescent="0.25">
      <c r="A20" s="29" t="s">
        <v>41</v>
      </c>
      <c r="B20" s="20">
        <v>4</v>
      </c>
    </row>
    <row r="21" spans="1:4" x14ac:dyDescent="0.25">
      <c r="A21" s="30" t="s">
        <v>83</v>
      </c>
      <c r="B21" s="14">
        <v>0</v>
      </c>
    </row>
    <row r="24" spans="1:4" ht="17.25" x14ac:dyDescent="0.3">
      <c r="A24" s="25" t="s">
        <v>316</v>
      </c>
    </row>
    <row r="25" spans="1:4" x14ac:dyDescent="0.25">
      <c r="A25" s="32" t="s">
        <v>317</v>
      </c>
      <c r="B25" s="32"/>
      <c r="C25" s="32"/>
      <c r="D25" s="32"/>
    </row>
    <row r="26" spans="1:4" x14ac:dyDescent="0.25">
      <c r="A26" s="32" t="s">
        <v>318</v>
      </c>
      <c r="B26" s="32"/>
      <c r="C26" s="32"/>
      <c r="D26" s="32"/>
    </row>
    <row r="27" spans="1:4" x14ac:dyDescent="0.25">
      <c r="A27" s="32" t="s">
        <v>319</v>
      </c>
      <c r="B27" s="32"/>
      <c r="C27" s="32"/>
      <c r="D27" s="32"/>
    </row>
    <row r="28" spans="1:4" x14ac:dyDescent="0.25">
      <c r="A28" s="32" t="s">
        <v>320</v>
      </c>
      <c r="B28" s="32"/>
      <c r="C28" s="32"/>
      <c r="D28" s="32"/>
    </row>
    <row r="29" spans="1:4" x14ac:dyDescent="0.25">
      <c r="A29" s="32" t="s">
        <v>321</v>
      </c>
      <c r="B29" s="32"/>
      <c r="C29" s="32"/>
      <c r="D29" s="32"/>
    </row>
    <row r="30" spans="1:4" x14ac:dyDescent="0.25">
      <c r="A30" s="32" t="s">
        <v>322</v>
      </c>
      <c r="B30" s="32"/>
      <c r="C30" s="32"/>
      <c r="D30" s="32"/>
    </row>
  </sheetData>
  <mergeCells count="7">
    <mergeCell ref="A29:D29"/>
    <mergeCell ref="A30:D30"/>
    <mergeCell ref="A1:D1"/>
    <mergeCell ref="A25:D25"/>
    <mergeCell ref="A26:D26"/>
    <mergeCell ref="A27:D27"/>
    <mergeCell ref="A28:D2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ADRIAN-ȘTEFAN SĂMĂRTEAN</cp:lastModifiedBy>
  <cp:revision>0</cp:revision>
  <dcterms:created xsi:type="dcterms:W3CDTF">2026-04-27T16:21:40Z</dcterms:created>
  <dcterms:modified xsi:type="dcterms:W3CDTF">2026-04-27T16:56:18Z</dcterms:modified>
  <dc:language>en-US</dc:language>
</cp:coreProperties>
</file>