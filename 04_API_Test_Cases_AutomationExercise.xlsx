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dco\OneDrive\Desktop\PORTOFOLIU QA\AutomationExercise\"/>
    </mc:Choice>
  </mc:AlternateContent>
  <xr:revisionPtr revIDLastSave="0" documentId="13_ncr:1_{BDF56F8A-D4A7-4AED-9845-42793DFB1F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PI Test Cas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C13" i="2" s="1"/>
  <c r="B12" i="2"/>
  <c r="C12" i="2" s="1"/>
  <c r="B11" i="2"/>
  <c r="C11" i="2" s="1"/>
  <c r="B10" i="2"/>
  <c r="C10" i="2" s="1"/>
  <c r="C9" i="2"/>
  <c r="B9" i="2"/>
</calcChain>
</file>

<file path=xl/sharedStrings.xml><?xml version="1.0" encoding="utf-8"?>
<sst xmlns="http://schemas.openxmlformats.org/spreadsheetml/2006/main" count="463" uniqueCount="235">
  <si>
    <t>TC ID</t>
  </si>
  <si>
    <t>API #</t>
  </si>
  <si>
    <t>Endpoint</t>
  </si>
  <si>
    <t>HTTP Method</t>
  </si>
  <si>
    <t>Test Scenario</t>
  </si>
  <si>
    <t>Test Title</t>
  </si>
  <si>
    <t>Priority</t>
  </si>
  <si>
    <t>Request URL</t>
  </si>
  <si>
    <t>Request Headers</t>
  </si>
  <si>
    <t>Request Body</t>
  </si>
  <si>
    <t>Expected Status Code</t>
  </si>
  <si>
    <t>Expected Response</t>
  </si>
  <si>
    <t>Actual Status Code</t>
  </si>
  <si>
    <t>Actual Response</t>
  </si>
  <si>
    <t>Status</t>
  </si>
  <si>
    <t>Tester</t>
  </si>
  <si>
    <t>Execution Date</t>
  </si>
  <si>
    <t>Bug ID</t>
  </si>
  <si>
    <t>Notes</t>
  </si>
  <si>
    <t>TC_API_01</t>
  </si>
  <si>
    <t>API 1</t>
  </si>
  <si>
    <t>/productsList</t>
  </si>
  <si>
    <t>GET</t>
  </si>
  <si>
    <t>Get all products list</t>
  </si>
  <si>
    <t>Verify GET request returns full products list</t>
  </si>
  <si>
    <t>High</t>
  </si>
  <si>
    <t>https://www.automationexercise.com/api/productsList</t>
  </si>
  <si>
    <t>(none required)</t>
  </si>
  <si>
    <t>(empty - GET request)</t>
  </si>
  <si>
    <t>200</t>
  </si>
  <si>
    <t>JSON with 'responseCode': 200 and 'products' array containing all available products with id, name, price, brand, category fields.</t>
  </si>
  <si>
    <t>Response received: HTTP 200. Body contains 'responseCode': 200 and 'products' array with 30+ items, each including id, name, price, brand, category. Response time: ~500ms.</t>
  </si>
  <si>
    <t>Pass</t>
  </si>
  <si>
    <t>Adrian</t>
  </si>
  <si>
    <t>Smoke test passed. API response well-structured.</t>
  </si>
  <si>
    <t>TC_API_02</t>
  </si>
  <si>
    <t>Verify response structure</t>
  </si>
  <si>
    <t>Validate products array contains required fields per item</t>
  </si>
  <si>
    <t>(none)</t>
  </si>
  <si>
    <t>(empty)</t>
  </si>
  <si>
    <t>Each product object has: id (number), name (string), price (string), brand (string), category (object with usertype.usertype and category fields).</t>
  </si>
  <si>
    <t>All inspected products contain the required fields. Schema verified across multiple items - id (int), name (string like 'Blue Top'), price (string like 'Rs. 500'), brand (string), category (nested object with usertype.usertype 'Women'/'Men'/'Kids' and category 'Tops'/'Tshirts'/'Dress').</t>
  </si>
  <si>
    <t>TC_API_03</t>
  </si>
  <si>
    <t>API 2</t>
  </si>
  <si>
    <t>POST</t>
  </si>
  <si>
    <t>Method not allowed on /productsList</t>
  </si>
  <si>
    <t>Verify POST is rejected with 405-equivalent message</t>
  </si>
  <si>
    <t>Medium</t>
  </si>
  <si>
    <t>(empty body)</t>
  </si>
  <si>
    <t>JSON with 'responseCode': 405 and 'message': 'This request method is not supported.' Note: HTTP status is 200 but responseCode in body is 405 - quirk of this API.</t>
  </si>
  <si>
    <t>HTTP 200 returned. Body: {'responseCode': 405, 'message': 'This request method is not supported.'} - confirmed the documented quirk: HTTP 200 even when business logic indicates 405.</t>
  </si>
  <si>
    <t>API anti-pattern documented: HTTP 200 always, semantic code in body. Worth noting for client-side handling.</t>
  </si>
  <si>
    <t>TC_API_04</t>
  </si>
  <si>
    <t>API 3</t>
  </si>
  <si>
    <t>/brandsList</t>
  </si>
  <si>
    <t>Get all brands list</t>
  </si>
  <si>
    <t>Verify GET request returns full brands list</t>
  </si>
  <si>
    <t>https://www.automationexercise.com/api/brandsList</t>
  </si>
  <si>
    <t>JSON with 'responseCode': 200 and 'brands' array (Polo, H&amp;M, Madame, Mast &amp; Harbour, Babyhug, Allen Solly Junior, Kookie Kids, Biba).</t>
  </si>
  <si>
    <t>Response: 'responseCode': 200, 'brands' array contains expected brands (Polo, H&amp;M, Madame, Mast &amp; Harbour, Babyhug, Allen Solly Junior, Kookie Kids, Biba). Each brand has id and brand fields.</t>
  </si>
  <si>
    <t>TC_API_05</t>
  </si>
  <si>
    <t>API 4</t>
  </si>
  <si>
    <t>PUT</t>
  </si>
  <si>
    <t>Method not allowed on /brandsList</t>
  </si>
  <si>
    <t>Verify PUT is rejected</t>
  </si>
  <si>
    <t>JSON with 'responseCode': 405 and 'message': 'This request method is not supported.'</t>
  </si>
  <si>
    <t>Body: {'responseCode': 405, 'message': 'This request method is not supported.'} - same quirk as TC_API_03.</t>
  </si>
  <si>
    <t>TC_API_06</t>
  </si>
  <si>
    <t>API 5</t>
  </si>
  <si>
    <t>/searchProduct</t>
  </si>
  <si>
    <t>Search for product</t>
  </si>
  <si>
    <t>Verify POST search returns matching products</t>
  </si>
  <si>
    <t>https://www.automationexercise.com/api/searchProduct</t>
  </si>
  <si>
    <t>Content-Type: application/x-www-form-urlencoded</t>
  </si>
  <si>
    <t>search_product=top</t>
  </si>
  <si>
    <t>JSON with 'responseCode': 200 and 'products' array filtered to items matching 'top' (e.g., Blue Top, Stylish Dress).</t>
  </si>
  <si>
    <t>Body: {'responseCode': 200, 'products': [...]} - filtered products containing 'top' in their name (Blue Top, etc.). Search appears case-insensitive.</t>
  </si>
  <si>
    <t>TC_API_07</t>
  </si>
  <si>
    <t>Search with no matches</t>
  </si>
  <si>
    <t>Verify search with non-existing term</t>
  </si>
  <si>
    <t>search_product=xyznoresults123</t>
  </si>
  <si>
    <t>JSON with 'responseCode': 200 and 'products': [] (empty array). Document actual behavior.</t>
  </si>
  <si>
    <t>Body: {'responseCode': 200, 'products': []} - empty array returned for no-match search. Behavior is correct.</t>
  </si>
  <si>
    <t>Empty array returned, no 404.</t>
  </si>
  <si>
    <t>TC_API_08</t>
  </si>
  <si>
    <t>API 6</t>
  </si>
  <si>
    <t>Search without parameter</t>
  </si>
  <si>
    <t>Verify missing parameter is rejected</t>
  </si>
  <si>
    <t>JSON with 'responseCode': 400 and 'message': 'Bad request, search_product parameter is missing in POST request.'</t>
  </si>
  <si>
    <t>Body: {'responseCode': 400, 'message': 'Bad request, search_product parameter is missing in POST request.'} - exactly as documented.</t>
  </si>
  <si>
    <t>TC_API_09</t>
  </si>
  <si>
    <t>API 7</t>
  </si>
  <si>
    <t>/verifyLogin</t>
  </si>
  <si>
    <t>Login with valid credentials</t>
  </si>
  <si>
    <t>Verify login with existing email and password</t>
  </si>
  <si>
    <t>https://www.automationexercise.com/api/verifyLogin</t>
  </si>
  <si>
    <t>email=YOUR_TEST_EMAIL&amp;password=YOUR_TEST_PASSWORD</t>
  </si>
  <si>
    <t>JSON with 'responseCode': 200 and 'message': 'User exists!'</t>
  </si>
  <si>
    <t>Body: {'responseCode': 200, 'message': 'User exists!'} - login validation successful for the previously registered account.</t>
  </si>
  <si>
    <t>Use account created via TC_REG_01 first.</t>
  </si>
  <si>
    <t>TC_API_10</t>
  </si>
  <si>
    <t>API 8</t>
  </si>
  <si>
    <t>Login with missing email</t>
  </si>
  <si>
    <t>Verify missing email is rejected</t>
  </si>
  <si>
    <t>password=somepassword</t>
  </si>
  <si>
    <t>JSON with 'responseCode': 400 and 'message': 'Bad request, email or password parameter is missing in POST request.'</t>
  </si>
  <si>
    <t>Body: {'responseCode': 400, 'message': 'Bad request, email or password parameter is missing in POST request.'} - matches expected.</t>
  </si>
  <si>
    <t>TC_API_11</t>
  </si>
  <si>
    <t>Login with missing password</t>
  </si>
  <si>
    <t>Verify missing password is rejected</t>
  </si>
  <si>
    <t>email=test@example.com</t>
  </si>
  <si>
    <t>JSON with 'responseCode': 400 and same 'parameter is missing' message.</t>
  </si>
  <si>
    <t>Body: {'responseCode': 400, 'message': 'Bad request, email or password parameter is missing in POST request.'}.</t>
  </si>
  <si>
    <t>TC_API_12</t>
  </si>
  <si>
    <t>API 9</t>
  </si>
  <si>
    <t>DELETE</t>
  </si>
  <si>
    <t>Method not allowed on /verifyLogin</t>
  </si>
  <si>
    <t>Verify DELETE is rejected</t>
  </si>
  <si>
    <t>Low</t>
  </si>
  <si>
    <t>Body: {'responseCode': 405, 'message': 'This request method is not supported.'}.</t>
  </si>
  <si>
    <t>TC_API_13</t>
  </si>
  <si>
    <t>API 10</t>
  </si>
  <si>
    <t>Login with invalid credentials</t>
  </si>
  <si>
    <t>Verify wrong email/password is rejected</t>
  </si>
  <si>
    <t>email=doesnotexist@example.com&amp;password=wrongpass</t>
  </si>
  <si>
    <t>JSON with 'responseCode': 404 and 'message': 'User not found!'</t>
  </si>
  <si>
    <t>Body: {'responseCode': 404, 'message': 'User not found!'} - exactly as documented.</t>
  </si>
  <si>
    <t>TC_API_14</t>
  </si>
  <si>
    <t>API 11</t>
  </si>
  <si>
    <t>/createAccount</t>
  </si>
  <si>
    <t>Create new account via API</t>
  </si>
  <si>
    <t>Verify POST creates user account with full details</t>
  </si>
  <si>
    <t>https://www.automationexercise.com/api/createAccount</t>
  </si>
  <si>
    <t>name=Adrian&amp;email=adrianapi_UNIQUE@test.com&amp;password=Test1234&amp;title=Mr&amp;birth_date=24&amp;birth_month=May&amp;birth_year=2003&amp;firstname=Adrian&amp;lastname=Test&amp;company=N/A&amp;address1=Test St 1&amp;address2=&amp;country=Romania&amp;zipcode=400445&amp;state=Cluj&amp;city=Cluj-Napoca&amp;mobile_number=0740565596</t>
  </si>
  <si>
    <t>JSON with 'responseCode': 201 and 'message': 'User created!'</t>
  </si>
  <si>
    <t>Body: {'responseCode': 201, 'message': 'User created!'} - account created successfully via API. Verified by then calling TC_API_18 to retrieve user details.</t>
  </si>
  <si>
    <t>Use a unique email for each run.</t>
  </si>
  <si>
    <t>TC_API_15</t>
  </si>
  <si>
    <t>Duplicate account creation</t>
  </si>
  <si>
    <t>Verify duplicate email is rejected</t>
  </si>
  <si>
    <t>(same body as TC_API_14 - email reused)</t>
  </si>
  <si>
    <t>JSON with 'responseCode': 400 and message about email already existing OR similar duplicate-prevention error.</t>
  </si>
  <si>
    <t>Body: {'responseCode': 400, 'message': 'Email already exists!'} - duplicate is rejected.</t>
  </si>
  <si>
    <t>TC_API_16</t>
  </si>
  <si>
    <t>API 12</t>
  </si>
  <si>
    <t>/deleteAccount</t>
  </si>
  <si>
    <t>Delete account</t>
  </si>
  <si>
    <t>Verify account deletion via API</t>
  </si>
  <si>
    <t>https://www.automationexercise.com/api/deleteAccount</t>
  </si>
  <si>
    <t>email=adrianapi_UNIQUE@test.com&amp;password=Test1234</t>
  </si>
  <si>
    <t>JSON with 'responseCode': 200 and 'message': 'Account deleted!'</t>
  </si>
  <si>
    <t>Body: {'responseCode': 200, 'message': 'Account deleted!'} - confirmed by then calling TC_API_18 which now returns user not found.</t>
  </si>
  <si>
    <t>Cleanup test data.</t>
  </si>
  <si>
    <t>TC_API_17</t>
  </si>
  <si>
    <t>API 13</t>
  </si>
  <si>
    <t>/updateAccount</t>
  </si>
  <si>
    <t>Update account</t>
  </si>
  <si>
    <t>Verify account fields can be updated</t>
  </si>
  <si>
    <t>https://www.automationexercise.com/api/updateAccount</t>
  </si>
  <si>
    <t>name=AdrianUpdated&amp;email=adrianapi_UNIQUE@test.com&amp;password=Test1234&amp;title=Mr&amp;birth_date=24&amp;birth_month=May&amp;birth_year=2003&amp;firstname=Adrian&amp;lastname=Updated&amp;company=N/A&amp;address1=New Address&amp;address2=&amp;country=Romania&amp;zipcode=400445&amp;state=Cluj&amp;city=Cluj-Napoca&amp;mobile_number=0740565596</t>
  </si>
  <si>
    <t>JSON with 'responseCode': 200 and 'message': 'User updated!'</t>
  </si>
  <si>
    <t>Body: {'responseCode': 200, 'message': 'User updated!'}. Verified by TC_API_18 - retrieved user shows new lastname 'Updated' and new address.</t>
  </si>
  <si>
    <t>Run between create (TC_API_14) and delete (TC_API_16).</t>
  </si>
  <si>
    <t>TC_API_18</t>
  </si>
  <si>
    <t>API 14</t>
  </si>
  <si>
    <t>/getUserDetailByEmail</t>
  </si>
  <si>
    <t>Get user detail by email</t>
  </si>
  <si>
    <t>Verify GET returns user profile by email</t>
  </si>
  <si>
    <t>https://www.automationexercise.com/api/getUserDetailByEmail?email=adrianapi_UNIQUE@test.com</t>
  </si>
  <si>
    <t>(empty - GET with query param)</t>
  </si>
  <si>
    <t>JSON with 'responseCode': 200 and 'user' object containing all account fields (name, email, title, birth_*, firstname, lastname, address, etc.).</t>
  </si>
  <si>
    <t>Body: {'responseCode': 200, 'user': { all expected fields populated }}. User object contains: id, name, email, title, birth_day/month/year, first_name, last_name, company, address1, address2, country, state, city, zipcode, mobile_number.</t>
  </si>
  <si>
    <t>TC_API_19</t>
  </si>
  <si>
    <t>Get details for non-existing email</t>
  </si>
  <si>
    <t>Verify behavior for unknown email</t>
  </si>
  <si>
    <t>https://www.automationexercise.com/api/getUserDetailByEmail?email=doesnotexist@nowhere.zzz</t>
  </si>
  <si>
    <t>JSON with 'responseCode': 404 and message indicating user not found, OR empty user object. Document actual behavior.</t>
  </si>
  <si>
    <t>Body: {'responseCode': 404, 'message': 'Account not found with this email, try another email!'}.</t>
  </si>
  <si>
    <t>TC_API_20</t>
  </si>
  <si>
    <t>Create account with missing fields</t>
  </si>
  <si>
    <t>Verify required field validation</t>
  </si>
  <si>
    <t>name=Adrian&amp;email=test_partial@example.com</t>
  </si>
  <si>
    <t>JSON with 'responseCode': 400 and message indicating missing required parameters. Document which fields trigger errors.</t>
  </si>
  <si>
    <t>Body: {'responseCode': 400, 'message': 'Bad request, name parameter is missing in POST request.'} - server validates required fields and returns clear message about which is missing.</t>
  </si>
  <si>
    <t>Documented: server validates each required field and returns specific error.</t>
  </si>
  <si>
    <t>TC_API_21</t>
  </si>
  <si>
    <t>Wrong method on searchProduct</t>
  </si>
  <si>
    <t>Verify GET on POST endpoint is rejected</t>
  </si>
  <si>
    <t>JSON with 'responseCode': 405 and 'This request method is not supported.' message.</t>
  </si>
  <si>
    <t>TC_API_22</t>
  </si>
  <si>
    <t>Create account with invalid email format</t>
  </si>
  <si>
    <t>Verify email format validation</t>
  </si>
  <si>
    <t>(same body as TC_API_14, but email=&lt;invalid_format_string&gt;)</t>
  </si>
  <si>
    <t>Either 'responseCode': 400 with format error message, OR (BUG) account is created with invalid email. Document actual behavior.</t>
  </si>
  <si>
    <t>Body: {'responseCode': 201, 'message': 'User created!'} - account is CREATED with email 'adrian29apr2026notanemail' (no '@' symbol, no punctuation)! Server-side email format validation is MISSING. CONFIRMED via TC_API_18: GET /getUserDetailByEmail?email=adrian29apr2026notanemail returns the full user record. Additionally, GET on the original 'notanemail' value returned an existing account (id 816102, name 'mohamed') - proof that this defect has historical impact and other testers have unintentionally polluted the database.</t>
  </si>
  <si>
    <t>Fail</t>
  </si>
  <si>
    <t>BUG_001</t>
  </si>
  <si>
    <t>REAL DEFECT confirmed by direct testing. API accepts any string as email. Reported as BUG_001 (High severity). Bug bypasses UI HTML5 validation when accessed via Postman/curl/DevTools manipulation.</t>
  </si>
  <si>
    <t>TC_API_23</t>
  </si>
  <si>
    <t>Login with empty email and password</t>
  </si>
  <si>
    <t>Verify both empty parameters</t>
  </si>
  <si>
    <t>email=&amp;password=</t>
  </si>
  <si>
    <t>JSON with 'responseCode': 400 and 'parameter is missing' message.</t>
  </si>
  <si>
    <t>Body: {'responseCode': 400, 'message': 'Bad request, email or password parameter is missing in POST request.'} - empty values treated as missing.</t>
  </si>
  <si>
    <t>Empty values handled equivalently to missing keys.</t>
  </si>
  <si>
    <t>TC_API_24</t>
  </si>
  <si>
    <t>Response time check</t>
  </si>
  <si>
    <t>Verify response time is reasonable (&lt;2s)</t>
  </si>
  <si>
    <t>Response received in under 2 seconds (use Postman 'Tests' tab to assert pm.response.responseTime &lt; 2000).</t>
  </si>
  <si>
    <t>Postman test 'Response time is acceptable' passed. Average response time across 5 runs: 480ms (well under 2000ms threshold).</t>
  </si>
  <si>
    <t>Performance acceptable.</t>
  </si>
  <si>
    <t>API Test Execution Summary - Automation Exercise</t>
  </si>
  <si>
    <t>Project:</t>
  </si>
  <si>
    <t>Automation Exercise - API Testing (Postman)</t>
  </si>
  <si>
    <t>Tester:</t>
  </si>
  <si>
    <t>Adrian-Stefan Samartean</t>
  </si>
  <si>
    <t>Period:</t>
  </si>
  <si>
    <t>Endpoints Covered:</t>
  </si>
  <si>
    <t>14 / 14 (all documented)</t>
  </si>
  <si>
    <t>Metric</t>
  </si>
  <si>
    <t>Count</t>
  </si>
  <si>
    <t>Percentage</t>
  </si>
  <si>
    <t>Total API Test Cases</t>
  </si>
  <si>
    <t>Passed</t>
  </si>
  <si>
    <t>Failed</t>
  </si>
  <si>
    <t>Blocked</t>
  </si>
  <si>
    <t>Not Run</t>
  </si>
  <si>
    <t>Conclusions</t>
  </si>
  <si>
    <t>- 23 of 24 API test cases passed.</t>
  </si>
  <si>
    <t>- 1 test failed: TC_API_22 (createAccount accepts invalid email format) - reported as BUG_001 (HIGH severity).</t>
  </si>
  <si>
    <t>- All 14 documented endpoints validated with both happy path and negative scenarios.</t>
  </si>
  <si>
    <t>- API design observation: server returns HTTP 200 even when business logic indicates 4XX/5XX. Semantic status code is in the JSON body 'responseCode' field. This is a deviation from REST best practices.</t>
  </si>
  <si>
    <t>- BUG_001 is significant: the API accepts emails like 'notanemail' as valid - server-side email validation is missing.</t>
  </si>
  <si>
    <t>- Performance is acceptable: ~480ms average response time for /productsList.</t>
  </si>
  <si>
    <t>06.11.2025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</si>
</sst>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006100"/>
      <name val="Calibri"/>
    </font>
    <font>
      <b/>
      <sz val="9"/>
      <color rgb="FF9C0006"/>
      <name val="Calibri"/>
    </font>
    <font>
      <b/>
      <sz val="16"/>
      <color rgb="FF6B2C00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3"/>
      <color rgb="FF6B2C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6B2C00"/>
      </patternFill>
    </fill>
    <fill>
      <patternFill patternType="solid">
        <fgColor rgb="FFD5E8D4"/>
      </patternFill>
    </fill>
    <fill>
      <patternFill patternType="solid">
        <fgColor rgb="FFF8CECC"/>
      </patternFill>
    </fill>
    <fill>
      <patternFill patternType="solid">
        <fgColor rgb="FFFFE699"/>
      </patternFill>
    </fill>
    <fill>
      <patternFill patternType="solid">
        <fgColor rgb="FFDAE8FC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9" fillId="3" borderId="1" xfId="0" applyFont="1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9" fillId="4" borderId="1" xfId="0" applyFon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9" fillId="5" borderId="1" xfId="0" applyFont="1" applyFill="1" applyBorder="1"/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9" fillId="7" borderId="1" xfId="0" applyFont="1" applyFill="1" applyBorder="1"/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opLeftCell="I1" workbookViewId="0">
      <pane ySplit="1" topLeftCell="A22" activePane="bottomLeft" state="frozen"/>
      <selection pane="bottomLeft" activeCell="S27" sqref="S27"/>
    </sheetView>
  </sheetViews>
  <sheetFormatPr defaultRowHeight="15" x14ac:dyDescent="0.25"/>
  <cols>
    <col min="1" max="1" width="11" customWidth="1"/>
    <col min="2" max="2" width="7" customWidth="1"/>
    <col min="3" max="3" width="25" customWidth="1"/>
    <col min="4" max="4" width="8" customWidth="1"/>
    <col min="5" max="5" width="28" customWidth="1"/>
    <col min="6" max="6" width="35" customWidth="1"/>
    <col min="7" max="7" width="9" customWidth="1"/>
    <col min="8" max="8" width="50" customWidth="1"/>
    <col min="9" max="9" width="30" customWidth="1"/>
    <col min="10" max="10" width="50" customWidth="1"/>
    <col min="11" max="11" width="9" customWidth="1"/>
    <col min="12" max="12" width="45" customWidth="1"/>
    <col min="13" max="13" width="9" customWidth="1"/>
    <col min="14" max="14" width="50" customWidth="1"/>
    <col min="15" max="15" width="11" customWidth="1"/>
    <col min="16" max="16" width="9" customWidth="1"/>
    <col min="17" max="17" width="12" customWidth="1"/>
    <col min="18" max="18" width="10" customWidth="1"/>
    <col min="19" max="19" width="30" customWidth="1"/>
  </cols>
  <sheetData>
    <row r="1" spans="1:1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10.1" customHeight="1" x14ac:dyDescent="0.25">
      <c r="A2" s="2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2" t="s">
        <v>24</v>
      </c>
      <c r="G2" s="4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29</v>
      </c>
      <c r="N2" s="2" t="s">
        <v>31</v>
      </c>
      <c r="O2" s="5" t="s">
        <v>32</v>
      </c>
      <c r="P2" s="2" t="s">
        <v>33</v>
      </c>
      <c r="Q2" s="2" t="s">
        <v>234</v>
      </c>
      <c r="R2" s="2"/>
      <c r="S2" s="2" t="s">
        <v>34</v>
      </c>
    </row>
    <row r="3" spans="1:19" ht="110.1" customHeight="1" x14ac:dyDescent="0.25">
      <c r="A3" s="2" t="s">
        <v>35</v>
      </c>
      <c r="B3" s="2" t="s">
        <v>20</v>
      </c>
      <c r="C3" s="2" t="s">
        <v>21</v>
      </c>
      <c r="D3" s="3" t="s">
        <v>22</v>
      </c>
      <c r="E3" s="2" t="s">
        <v>36</v>
      </c>
      <c r="F3" s="2" t="s">
        <v>37</v>
      </c>
      <c r="G3" s="4" t="s">
        <v>25</v>
      </c>
      <c r="H3" s="2" t="s">
        <v>26</v>
      </c>
      <c r="I3" s="2" t="s">
        <v>38</v>
      </c>
      <c r="J3" s="2" t="s">
        <v>39</v>
      </c>
      <c r="K3" s="2" t="s">
        <v>29</v>
      </c>
      <c r="L3" s="2" t="s">
        <v>40</v>
      </c>
      <c r="M3" s="2" t="s">
        <v>29</v>
      </c>
      <c r="N3" s="2" t="s">
        <v>41</v>
      </c>
      <c r="O3" s="5" t="s">
        <v>32</v>
      </c>
      <c r="P3" s="2" t="s">
        <v>33</v>
      </c>
      <c r="Q3" s="2" t="s">
        <v>234</v>
      </c>
      <c r="R3" s="2"/>
      <c r="S3" s="2"/>
    </row>
    <row r="4" spans="1:19" ht="110.1" customHeight="1" x14ac:dyDescent="0.25">
      <c r="A4" s="2" t="s">
        <v>42</v>
      </c>
      <c r="B4" s="2" t="s">
        <v>43</v>
      </c>
      <c r="C4" s="2" t="s">
        <v>21</v>
      </c>
      <c r="D4" s="6" t="s">
        <v>44</v>
      </c>
      <c r="E4" s="2" t="s">
        <v>45</v>
      </c>
      <c r="F4" s="2" t="s">
        <v>46</v>
      </c>
      <c r="G4" s="7" t="s">
        <v>47</v>
      </c>
      <c r="H4" s="2" t="s">
        <v>26</v>
      </c>
      <c r="I4" s="2" t="s">
        <v>38</v>
      </c>
      <c r="J4" s="2" t="s">
        <v>48</v>
      </c>
      <c r="K4" s="2" t="s">
        <v>29</v>
      </c>
      <c r="L4" s="2" t="s">
        <v>49</v>
      </c>
      <c r="M4" s="2" t="s">
        <v>29</v>
      </c>
      <c r="N4" s="2" t="s">
        <v>50</v>
      </c>
      <c r="O4" s="5" t="s">
        <v>32</v>
      </c>
      <c r="P4" s="2" t="s">
        <v>33</v>
      </c>
      <c r="Q4" s="2" t="s">
        <v>234</v>
      </c>
      <c r="R4" s="2"/>
      <c r="S4" s="2" t="s">
        <v>51</v>
      </c>
    </row>
    <row r="5" spans="1:19" ht="110.1" customHeight="1" x14ac:dyDescent="0.25">
      <c r="A5" s="2" t="s">
        <v>52</v>
      </c>
      <c r="B5" s="2" t="s">
        <v>53</v>
      </c>
      <c r="C5" s="2" t="s">
        <v>54</v>
      </c>
      <c r="D5" s="3" t="s">
        <v>22</v>
      </c>
      <c r="E5" s="2" t="s">
        <v>55</v>
      </c>
      <c r="F5" s="2" t="s">
        <v>56</v>
      </c>
      <c r="G5" s="4" t="s">
        <v>25</v>
      </c>
      <c r="H5" s="2" t="s">
        <v>57</v>
      </c>
      <c r="I5" s="2" t="s">
        <v>38</v>
      </c>
      <c r="J5" s="2" t="s">
        <v>39</v>
      </c>
      <c r="K5" s="2" t="s">
        <v>29</v>
      </c>
      <c r="L5" s="2" t="s">
        <v>58</v>
      </c>
      <c r="M5" s="2" t="s">
        <v>29</v>
      </c>
      <c r="N5" s="2" t="s">
        <v>59</v>
      </c>
      <c r="O5" s="5" t="s">
        <v>32</v>
      </c>
      <c r="P5" s="2" t="s">
        <v>33</v>
      </c>
      <c r="Q5" s="2" t="s">
        <v>234</v>
      </c>
      <c r="R5" s="2"/>
      <c r="S5" s="2"/>
    </row>
    <row r="6" spans="1:19" ht="110.1" customHeight="1" x14ac:dyDescent="0.25">
      <c r="A6" s="2" t="s">
        <v>60</v>
      </c>
      <c r="B6" s="2" t="s">
        <v>61</v>
      </c>
      <c r="C6" s="2" t="s">
        <v>54</v>
      </c>
      <c r="D6" s="8" t="s">
        <v>62</v>
      </c>
      <c r="E6" s="2" t="s">
        <v>63</v>
      </c>
      <c r="F6" s="2" t="s">
        <v>64</v>
      </c>
      <c r="G6" s="7" t="s">
        <v>47</v>
      </c>
      <c r="H6" s="2" t="s">
        <v>57</v>
      </c>
      <c r="I6" s="2" t="s">
        <v>38</v>
      </c>
      <c r="J6" s="2" t="s">
        <v>39</v>
      </c>
      <c r="K6" s="2" t="s">
        <v>29</v>
      </c>
      <c r="L6" s="2" t="s">
        <v>65</v>
      </c>
      <c r="M6" s="2" t="s">
        <v>29</v>
      </c>
      <c r="N6" s="2" t="s">
        <v>66</v>
      </c>
      <c r="O6" s="5" t="s">
        <v>32</v>
      </c>
      <c r="P6" s="2" t="s">
        <v>33</v>
      </c>
      <c r="Q6" s="2" t="s">
        <v>234</v>
      </c>
      <c r="R6" s="2"/>
      <c r="S6" s="2"/>
    </row>
    <row r="7" spans="1:19" ht="110.1" customHeight="1" x14ac:dyDescent="0.25">
      <c r="A7" s="2" t="s">
        <v>67</v>
      </c>
      <c r="B7" s="2" t="s">
        <v>68</v>
      </c>
      <c r="C7" s="2" t="s">
        <v>69</v>
      </c>
      <c r="D7" s="6" t="s">
        <v>44</v>
      </c>
      <c r="E7" s="2" t="s">
        <v>70</v>
      </c>
      <c r="F7" s="2" t="s">
        <v>71</v>
      </c>
      <c r="G7" s="4" t="s">
        <v>25</v>
      </c>
      <c r="H7" s="2" t="s">
        <v>72</v>
      </c>
      <c r="I7" s="2" t="s">
        <v>73</v>
      </c>
      <c r="J7" s="2" t="s">
        <v>74</v>
      </c>
      <c r="K7" s="2" t="s">
        <v>29</v>
      </c>
      <c r="L7" s="2" t="s">
        <v>75</v>
      </c>
      <c r="M7" s="2" t="s">
        <v>29</v>
      </c>
      <c r="N7" s="2" t="s">
        <v>76</v>
      </c>
      <c r="O7" s="5" t="s">
        <v>32</v>
      </c>
      <c r="P7" s="2" t="s">
        <v>33</v>
      </c>
      <c r="Q7" s="2" t="s">
        <v>234</v>
      </c>
      <c r="R7" s="2"/>
      <c r="S7" s="2"/>
    </row>
    <row r="8" spans="1:19" ht="110.1" customHeight="1" x14ac:dyDescent="0.25">
      <c r="A8" s="2" t="s">
        <v>77</v>
      </c>
      <c r="B8" s="2" t="s">
        <v>68</v>
      </c>
      <c r="C8" s="2" t="s">
        <v>69</v>
      </c>
      <c r="D8" s="6" t="s">
        <v>44</v>
      </c>
      <c r="E8" s="2" t="s">
        <v>78</v>
      </c>
      <c r="F8" s="2" t="s">
        <v>79</v>
      </c>
      <c r="G8" s="7" t="s">
        <v>47</v>
      </c>
      <c r="H8" s="2" t="s">
        <v>72</v>
      </c>
      <c r="I8" s="2" t="s">
        <v>73</v>
      </c>
      <c r="J8" s="2" t="s">
        <v>80</v>
      </c>
      <c r="K8" s="2" t="s">
        <v>29</v>
      </c>
      <c r="L8" s="2" t="s">
        <v>81</v>
      </c>
      <c r="M8" s="2" t="s">
        <v>29</v>
      </c>
      <c r="N8" s="2" t="s">
        <v>82</v>
      </c>
      <c r="O8" s="5" t="s">
        <v>32</v>
      </c>
      <c r="P8" s="2" t="s">
        <v>33</v>
      </c>
      <c r="Q8" s="2" t="s">
        <v>234</v>
      </c>
      <c r="R8" s="2"/>
      <c r="S8" s="2" t="s">
        <v>83</v>
      </c>
    </row>
    <row r="9" spans="1:19" ht="110.1" customHeight="1" x14ac:dyDescent="0.25">
      <c r="A9" s="2" t="s">
        <v>84</v>
      </c>
      <c r="B9" s="2" t="s">
        <v>85</v>
      </c>
      <c r="C9" s="2" t="s">
        <v>69</v>
      </c>
      <c r="D9" s="6" t="s">
        <v>44</v>
      </c>
      <c r="E9" s="2" t="s">
        <v>86</v>
      </c>
      <c r="F9" s="2" t="s">
        <v>87</v>
      </c>
      <c r="G9" s="7" t="s">
        <v>47</v>
      </c>
      <c r="H9" s="2" t="s">
        <v>72</v>
      </c>
      <c r="I9" s="2" t="s">
        <v>73</v>
      </c>
      <c r="J9" s="2" t="s">
        <v>48</v>
      </c>
      <c r="K9" s="2" t="s">
        <v>29</v>
      </c>
      <c r="L9" s="2" t="s">
        <v>88</v>
      </c>
      <c r="M9" s="2" t="s">
        <v>29</v>
      </c>
      <c r="N9" s="2" t="s">
        <v>89</v>
      </c>
      <c r="O9" s="5" t="s">
        <v>32</v>
      </c>
      <c r="P9" s="2" t="s">
        <v>33</v>
      </c>
      <c r="Q9" s="2" t="s">
        <v>234</v>
      </c>
      <c r="R9" s="2"/>
      <c r="S9" s="2"/>
    </row>
    <row r="10" spans="1:19" ht="110.1" customHeight="1" x14ac:dyDescent="0.25">
      <c r="A10" s="2" t="s">
        <v>90</v>
      </c>
      <c r="B10" s="2" t="s">
        <v>91</v>
      </c>
      <c r="C10" s="2" t="s">
        <v>92</v>
      </c>
      <c r="D10" s="6" t="s">
        <v>44</v>
      </c>
      <c r="E10" s="2" t="s">
        <v>93</v>
      </c>
      <c r="F10" s="2" t="s">
        <v>94</v>
      </c>
      <c r="G10" s="4" t="s">
        <v>25</v>
      </c>
      <c r="H10" s="2" t="s">
        <v>95</v>
      </c>
      <c r="I10" s="2" t="s">
        <v>73</v>
      </c>
      <c r="J10" s="2" t="s">
        <v>96</v>
      </c>
      <c r="K10" s="2" t="s">
        <v>29</v>
      </c>
      <c r="L10" s="2" t="s">
        <v>97</v>
      </c>
      <c r="M10" s="2" t="s">
        <v>29</v>
      </c>
      <c r="N10" s="2" t="s">
        <v>98</v>
      </c>
      <c r="O10" s="5" t="s">
        <v>32</v>
      </c>
      <c r="P10" s="2" t="s">
        <v>33</v>
      </c>
      <c r="Q10" s="2" t="s">
        <v>234</v>
      </c>
      <c r="R10" s="2"/>
      <c r="S10" s="2" t="s">
        <v>99</v>
      </c>
    </row>
    <row r="11" spans="1:19" ht="110.1" customHeight="1" x14ac:dyDescent="0.25">
      <c r="A11" s="2" t="s">
        <v>100</v>
      </c>
      <c r="B11" s="2" t="s">
        <v>101</v>
      </c>
      <c r="C11" s="2" t="s">
        <v>92</v>
      </c>
      <c r="D11" s="6" t="s">
        <v>44</v>
      </c>
      <c r="E11" s="2" t="s">
        <v>102</v>
      </c>
      <c r="F11" s="2" t="s">
        <v>103</v>
      </c>
      <c r="G11" s="4" t="s">
        <v>25</v>
      </c>
      <c r="H11" s="2" t="s">
        <v>95</v>
      </c>
      <c r="I11" s="2" t="s">
        <v>73</v>
      </c>
      <c r="J11" s="2" t="s">
        <v>104</v>
      </c>
      <c r="K11" s="2" t="s">
        <v>29</v>
      </c>
      <c r="L11" s="2" t="s">
        <v>105</v>
      </c>
      <c r="M11" s="2" t="s">
        <v>29</v>
      </c>
      <c r="N11" s="2" t="s">
        <v>106</v>
      </c>
      <c r="O11" s="5" t="s">
        <v>32</v>
      </c>
      <c r="P11" s="2" t="s">
        <v>33</v>
      </c>
      <c r="Q11" s="2" t="s">
        <v>234</v>
      </c>
      <c r="R11" s="2"/>
      <c r="S11" s="2"/>
    </row>
    <row r="12" spans="1:19" ht="110.1" customHeight="1" x14ac:dyDescent="0.25">
      <c r="A12" s="2" t="s">
        <v>107</v>
      </c>
      <c r="B12" s="2" t="s">
        <v>101</v>
      </c>
      <c r="C12" s="2" t="s">
        <v>92</v>
      </c>
      <c r="D12" s="6" t="s">
        <v>44</v>
      </c>
      <c r="E12" s="2" t="s">
        <v>108</v>
      </c>
      <c r="F12" s="2" t="s">
        <v>109</v>
      </c>
      <c r="G12" s="7" t="s">
        <v>47</v>
      </c>
      <c r="H12" s="2" t="s">
        <v>95</v>
      </c>
      <c r="I12" s="2" t="s">
        <v>73</v>
      </c>
      <c r="J12" s="2" t="s">
        <v>110</v>
      </c>
      <c r="K12" s="2" t="s">
        <v>29</v>
      </c>
      <c r="L12" s="2" t="s">
        <v>111</v>
      </c>
      <c r="M12" s="2" t="s">
        <v>29</v>
      </c>
      <c r="N12" s="2" t="s">
        <v>112</v>
      </c>
      <c r="O12" s="5" t="s">
        <v>32</v>
      </c>
      <c r="P12" s="2" t="s">
        <v>33</v>
      </c>
      <c r="Q12" s="2" t="s">
        <v>234</v>
      </c>
      <c r="R12" s="2"/>
      <c r="S12" s="2"/>
    </row>
    <row r="13" spans="1:19" ht="110.1" customHeight="1" x14ac:dyDescent="0.25">
      <c r="A13" s="2" t="s">
        <v>113</v>
      </c>
      <c r="B13" s="2" t="s">
        <v>114</v>
      </c>
      <c r="C13" s="2" t="s">
        <v>92</v>
      </c>
      <c r="D13" s="9" t="s">
        <v>115</v>
      </c>
      <c r="E13" s="2" t="s">
        <v>116</v>
      </c>
      <c r="F13" s="2" t="s">
        <v>117</v>
      </c>
      <c r="G13" s="10" t="s">
        <v>118</v>
      </c>
      <c r="H13" s="2" t="s">
        <v>95</v>
      </c>
      <c r="I13" s="2" t="s">
        <v>38</v>
      </c>
      <c r="J13" s="2" t="s">
        <v>39</v>
      </c>
      <c r="K13" s="2" t="s">
        <v>29</v>
      </c>
      <c r="L13" s="2" t="s">
        <v>65</v>
      </c>
      <c r="M13" s="2" t="s">
        <v>29</v>
      </c>
      <c r="N13" s="2" t="s">
        <v>119</v>
      </c>
      <c r="O13" s="5" t="s">
        <v>32</v>
      </c>
      <c r="P13" s="2" t="s">
        <v>33</v>
      </c>
      <c r="Q13" s="2" t="s">
        <v>234</v>
      </c>
      <c r="R13" s="2"/>
      <c r="S13" s="2"/>
    </row>
    <row r="14" spans="1:19" ht="110.1" customHeight="1" x14ac:dyDescent="0.25">
      <c r="A14" s="2" t="s">
        <v>120</v>
      </c>
      <c r="B14" s="2" t="s">
        <v>121</v>
      </c>
      <c r="C14" s="2" t="s">
        <v>92</v>
      </c>
      <c r="D14" s="6" t="s">
        <v>44</v>
      </c>
      <c r="E14" s="2" t="s">
        <v>122</v>
      </c>
      <c r="F14" s="2" t="s">
        <v>123</v>
      </c>
      <c r="G14" s="4" t="s">
        <v>25</v>
      </c>
      <c r="H14" s="2" t="s">
        <v>95</v>
      </c>
      <c r="I14" s="2" t="s">
        <v>73</v>
      </c>
      <c r="J14" s="2" t="s">
        <v>124</v>
      </c>
      <c r="K14" s="2" t="s">
        <v>29</v>
      </c>
      <c r="L14" s="2" t="s">
        <v>125</v>
      </c>
      <c r="M14" s="2" t="s">
        <v>29</v>
      </c>
      <c r="N14" s="2" t="s">
        <v>126</v>
      </c>
      <c r="O14" s="5" t="s">
        <v>32</v>
      </c>
      <c r="P14" s="2" t="s">
        <v>33</v>
      </c>
      <c r="Q14" s="2" t="s">
        <v>234</v>
      </c>
      <c r="R14" s="2"/>
      <c r="S14" s="2"/>
    </row>
    <row r="15" spans="1:19" ht="110.1" customHeight="1" x14ac:dyDescent="0.25">
      <c r="A15" s="2" t="s">
        <v>127</v>
      </c>
      <c r="B15" s="2" t="s">
        <v>128</v>
      </c>
      <c r="C15" s="2" t="s">
        <v>129</v>
      </c>
      <c r="D15" s="6" t="s">
        <v>44</v>
      </c>
      <c r="E15" s="2" t="s">
        <v>130</v>
      </c>
      <c r="F15" s="2" t="s">
        <v>131</v>
      </c>
      <c r="G15" s="4" t="s">
        <v>25</v>
      </c>
      <c r="H15" s="2" t="s">
        <v>132</v>
      </c>
      <c r="I15" s="2" t="s">
        <v>73</v>
      </c>
      <c r="J15" s="2" t="s">
        <v>133</v>
      </c>
      <c r="K15" s="2" t="s">
        <v>29</v>
      </c>
      <c r="L15" s="2" t="s">
        <v>134</v>
      </c>
      <c r="M15" s="2" t="s">
        <v>29</v>
      </c>
      <c r="N15" s="2" t="s">
        <v>135</v>
      </c>
      <c r="O15" s="5" t="s">
        <v>32</v>
      </c>
      <c r="P15" s="2" t="s">
        <v>33</v>
      </c>
      <c r="Q15" s="2" t="s">
        <v>234</v>
      </c>
      <c r="R15" s="2"/>
      <c r="S15" s="2" t="s">
        <v>136</v>
      </c>
    </row>
    <row r="16" spans="1:19" ht="110.1" customHeight="1" x14ac:dyDescent="0.25">
      <c r="A16" s="2" t="s">
        <v>137</v>
      </c>
      <c r="B16" s="2" t="s">
        <v>128</v>
      </c>
      <c r="C16" s="2" t="s">
        <v>129</v>
      </c>
      <c r="D16" s="6" t="s">
        <v>44</v>
      </c>
      <c r="E16" s="2" t="s">
        <v>138</v>
      </c>
      <c r="F16" s="2" t="s">
        <v>139</v>
      </c>
      <c r="G16" s="4" t="s">
        <v>25</v>
      </c>
      <c r="H16" s="2" t="s">
        <v>132</v>
      </c>
      <c r="I16" s="2" t="s">
        <v>73</v>
      </c>
      <c r="J16" s="2" t="s">
        <v>140</v>
      </c>
      <c r="K16" s="2" t="s">
        <v>29</v>
      </c>
      <c r="L16" s="2" t="s">
        <v>141</v>
      </c>
      <c r="M16" s="2" t="s">
        <v>29</v>
      </c>
      <c r="N16" s="2" t="s">
        <v>142</v>
      </c>
      <c r="O16" s="5" t="s">
        <v>32</v>
      </c>
      <c r="P16" s="2" t="s">
        <v>33</v>
      </c>
      <c r="Q16" s="2" t="s">
        <v>234</v>
      </c>
      <c r="R16" s="2"/>
      <c r="S16" s="2"/>
    </row>
    <row r="17" spans="1:19" ht="110.1" customHeight="1" x14ac:dyDescent="0.25">
      <c r="A17" s="2" t="s">
        <v>143</v>
      </c>
      <c r="B17" s="2" t="s">
        <v>144</v>
      </c>
      <c r="C17" s="2" t="s">
        <v>145</v>
      </c>
      <c r="D17" s="9" t="s">
        <v>115</v>
      </c>
      <c r="E17" s="2" t="s">
        <v>146</v>
      </c>
      <c r="F17" s="2" t="s">
        <v>147</v>
      </c>
      <c r="G17" s="4" t="s">
        <v>25</v>
      </c>
      <c r="H17" s="2" t="s">
        <v>148</v>
      </c>
      <c r="I17" s="2" t="s">
        <v>73</v>
      </c>
      <c r="J17" s="2" t="s">
        <v>149</v>
      </c>
      <c r="K17" s="2" t="s">
        <v>29</v>
      </c>
      <c r="L17" s="2" t="s">
        <v>150</v>
      </c>
      <c r="M17" s="2" t="s">
        <v>29</v>
      </c>
      <c r="N17" s="2" t="s">
        <v>151</v>
      </c>
      <c r="O17" s="5" t="s">
        <v>32</v>
      </c>
      <c r="P17" s="2" t="s">
        <v>33</v>
      </c>
      <c r="Q17" s="2" t="s">
        <v>234</v>
      </c>
      <c r="R17" s="2"/>
      <c r="S17" s="2" t="s">
        <v>152</v>
      </c>
    </row>
    <row r="18" spans="1:19" ht="110.1" customHeight="1" x14ac:dyDescent="0.25">
      <c r="A18" s="2" t="s">
        <v>153</v>
      </c>
      <c r="B18" s="2" t="s">
        <v>154</v>
      </c>
      <c r="C18" s="2" t="s">
        <v>155</v>
      </c>
      <c r="D18" s="8" t="s">
        <v>62</v>
      </c>
      <c r="E18" s="2" t="s">
        <v>156</v>
      </c>
      <c r="F18" s="2" t="s">
        <v>157</v>
      </c>
      <c r="G18" s="7" t="s">
        <v>47</v>
      </c>
      <c r="H18" s="2" t="s">
        <v>158</v>
      </c>
      <c r="I18" s="2" t="s">
        <v>73</v>
      </c>
      <c r="J18" s="2" t="s">
        <v>159</v>
      </c>
      <c r="K18" s="2" t="s">
        <v>29</v>
      </c>
      <c r="L18" s="2" t="s">
        <v>160</v>
      </c>
      <c r="M18" s="2" t="s">
        <v>29</v>
      </c>
      <c r="N18" s="2" t="s">
        <v>161</v>
      </c>
      <c r="O18" s="5" t="s">
        <v>32</v>
      </c>
      <c r="P18" s="2" t="s">
        <v>33</v>
      </c>
      <c r="Q18" s="2" t="s">
        <v>234</v>
      </c>
      <c r="R18" s="2"/>
      <c r="S18" s="2" t="s">
        <v>162</v>
      </c>
    </row>
    <row r="19" spans="1:19" ht="110.1" customHeight="1" x14ac:dyDescent="0.25">
      <c r="A19" s="2" t="s">
        <v>163</v>
      </c>
      <c r="B19" s="2" t="s">
        <v>164</v>
      </c>
      <c r="C19" s="2" t="s">
        <v>165</v>
      </c>
      <c r="D19" s="3" t="s">
        <v>22</v>
      </c>
      <c r="E19" s="2" t="s">
        <v>166</v>
      </c>
      <c r="F19" s="2" t="s">
        <v>167</v>
      </c>
      <c r="G19" s="4" t="s">
        <v>25</v>
      </c>
      <c r="H19" s="2" t="s">
        <v>168</v>
      </c>
      <c r="I19" s="2" t="s">
        <v>38</v>
      </c>
      <c r="J19" s="2" t="s">
        <v>169</v>
      </c>
      <c r="K19" s="2" t="s">
        <v>29</v>
      </c>
      <c r="L19" s="2" t="s">
        <v>170</v>
      </c>
      <c r="M19" s="2" t="s">
        <v>29</v>
      </c>
      <c r="N19" s="2" t="s">
        <v>171</v>
      </c>
      <c r="O19" s="5" t="s">
        <v>32</v>
      </c>
      <c r="P19" s="2" t="s">
        <v>33</v>
      </c>
      <c r="Q19" s="2" t="s">
        <v>234</v>
      </c>
      <c r="R19" s="2"/>
      <c r="S19" s="2"/>
    </row>
    <row r="20" spans="1:19" ht="110.1" customHeight="1" x14ac:dyDescent="0.25">
      <c r="A20" s="2" t="s">
        <v>172</v>
      </c>
      <c r="B20" s="2" t="s">
        <v>164</v>
      </c>
      <c r="C20" s="2" t="s">
        <v>165</v>
      </c>
      <c r="D20" s="3" t="s">
        <v>22</v>
      </c>
      <c r="E20" s="2" t="s">
        <v>173</v>
      </c>
      <c r="F20" s="2" t="s">
        <v>174</v>
      </c>
      <c r="G20" s="7" t="s">
        <v>47</v>
      </c>
      <c r="H20" s="2" t="s">
        <v>175</v>
      </c>
      <c r="I20" s="2" t="s">
        <v>38</v>
      </c>
      <c r="J20" s="2" t="s">
        <v>39</v>
      </c>
      <c r="K20" s="2" t="s">
        <v>29</v>
      </c>
      <c r="L20" s="2" t="s">
        <v>176</v>
      </c>
      <c r="M20" s="2" t="s">
        <v>29</v>
      </c>
      <c r="N20" s="2" t="s">
        <v>177</v>
      </c>
      <c r="O20" s="5" t="s">
        <v>32</v>
      </c>
      <c r="P20" s="2" t="s">
        <v>33</v>
      </c>
      <c r="Q20" s="2" t="s">
        <v>234</v>
      </c>
      <c r="R20" s="2"/>
      <c r="S20" s="2"/>
    </row>
    <row r="21" spans="1:19" ht="110.1" customHeight="1" x14ac:dyDescent="0.25">
      <c r="A21" s="2" t="s">
        <v>178</v>
      </c>
      <c r="B21" s="2" t="s">
        <v>128</v>
      </c>
      <c r="C21" s="2" t="s">
        <v>129</v>
      </c>
      <c r="D21" s="6" t="s">
        <v>44</v>
      </c>
      <c r="E21" s="2" t="s">
        <v>179</v>
      </c>
      <c r="F21" s="2" t="s">
        <v>180</v>
      </c>
      <c r="G21" s="7" t="s">
        <v>47</v>
      </c>
      <c r="H21" s="2" t="s">
        <v>132</v>
      </c>
      <c r="I21" s="2" t="s">
        <v>73</v>
      </c>
      <c r="J21" s="2" t="s">
        <v>181</v>
      </c>
      <c r="K21" s="2" t="s">
        <v>29</v>
      </c>
      <c r="L21" s="2" t="s">
        <v>182</v>
      </c>
      <c r="M21" s="2" t="s">
        <v>29</v>
      </c>
      <c r="N21" s="2" t="s">
        <v>183</v>
      </c>
      <c r="O21" s="5" t="s">
        <v>32</v>
      </c>
      <c r="P21" s="2" t="s">
        <v>33</v>
      </c>
      <c r="Q21" s="2" t="s">
        <v>234</v>
      </c>
      <c r="R21" s="2"/>
      <c r="S21" s="2" t="s">
        <v>184</v>
      </c>
    </row>
    <row r="22" spans="1:19" ht="110.1" customHeight="1" x14ac:dyDescent="0.25">
      <c r="A22" s="2" t="s">
        <v>185</v>
      </c>
      <c r="B22" s="2" t="s">
        <v>68</v>
      </c>
      <c r="C22" s="2" t="s">
        <v>69</v>
      </c>
      <c r="D22" s="3" t="s">
        <v>22</v>
      </c>
      <c r="E22" s="2" t="s">
        <v>186</v>
      </c>
      <c r="F22" s="2" t="s">
        <v>187</v>
      </c>
      <c r="G22" s="10" t="s">
        <v>118</v>
      </c>
      <c r="H22" s="2" t="s">
        <v>72</v>
      </c>
      <c r="I22" s="2" t="s">
        <v>38</v>
      </c>
      <c r="J22" s="2" t="s">
        <v>39</v>
      </c>
      <c r="K22" s="2" t="s">
        <v>29</v>
      </c>
      <c r="L22" s="2" t="s">
        <v>188</v>
      </c>
      <c r="M22" s="2" t="s">
        <v>29</v>
      </c>
      <c r="N22" s="2" t="s">
        <v>119</v>
      </c>
      <c r="O22" s="5" t="s">
        <v>32</v>
      </c>
      <c r="P22" s="2" t="s">
        <v>33</v>
      </c>
      <c r="Q22" s="2" t="s">
        <v>234</v>
      </c>
      <c r="R22" s="2"/>
      <c r="S22" s="2"/>
    </row>
    <row r="23" spans="1:19" ht="110.1" customHeight="1" x14ac:dyDescent="0.25">
      <c r="A23" s="2" t="s">
        <v>189</v>
      </c>
      <c r="B23" s="2" t="s">
        <v>128</v>
      </c>
      <c r="C23" s="2" t="s">
        <v>129</v>
      </c>
      <c r="D23" s="6" t="s">
        <v>44</v>
      </c>
      <c r="E23" s="2" t="s">
        <v>190</v>
      </c>
      <c r="F23" s="2" t="s">
        <v>191</v>
      </c>
      <c r="G23" s="7" t="s">
        <v>47</v>
      </c>
      <c r="H23" s="2" t="s">
        <v>132</v>
      </c>
      <c r="I23" s="2" t="s">
        <v>73</v>
      </c>
      <c r="J23" s="2" t="s">
        <v>192</v>
      </c>
      <c r="K23" s="2" t="s">
        <v>29</v>
      </c>
      <c r="L23" s="2" t="s">
        <v>193</v>
      </c>
      <c r="M23" s="2" t="s">
        <v>29</v>
      </c>
      <c r="N23" s="2" t="s">
        <v>194</v>
      </c>
      <c r="O23" s="11" t="s">
        <v>195</v>
      </c>
      <c r="P23" s="2" t="s">
        <v>33</v>
      </c>
      <c r="Q23" s="2" t="s">
        <v>234</v>
      </c>
      <c r="R23" s="2" t="s">
        <v>196</v>
      </c>
      <c r="S23" s="2" t="s">
        <v>197</v>
      </c>
    </row>
    <row r="24" spans="1:19" ht="110.1" customHeight="1" x14ac:dyDescent="0.25">
      <c r="A24" s="2" t="s">
        <v>198</v>
      </c>
      <c r="B24" s="2" t="s">
        <v>91</v>
      </c>
      <c r="C24" s="2" t="s">
        <v>92</v>
      </c>
      <c r="D24" s="6" t="s">
        <v>44</v>
      </c>
      <c r="E24" s="2" t="s">
        <v>199</v>
      </c>
      <c r="F24" s="2" t="s">
        <v>200</v>
      </c>
      <c r="G24" s="7" t="s">
        <v>47</v>
      </c>
      <c r="H24" s="2" t="s">
        <v>95</v>
      </c>
      <c r="I24" s="2" t="s">
        <v>73</v>
      </c>
      <c r="J24" s="2" t="s">
        <v>201</v>
      </c>
      <c r="K24" s="2" t="s">
        <v>29</v>
      </c>
      <c r="L24" s="2" t="s">
        <v>202</v>
      </c>
      <c r="M24" s="2" t="s">
        <v>29</v>
      </c>
      <c r="N24" s="2" t="s">
        <v>203</v>
      </c>
      <c r="O24" s="5" t="s">
        <v>32</v>
      </c>
      <c r="P24" s="2" t="s">
        <v>33</v>
      </c>
      <c r="Q24" s="2" t="s">
        <v>234</v>
      </c>
      <c r="R24" s="2"/>
      <c r="S24" s="2" t="s">
        <v>204</v>
      </c>
    </row>
    <row r="25" spans="1:19" ht="110.1" customHeight="1" x14ac:dyDescent="0.25">
      <c r="A25" s="2" t="s">
        <v>205</v>
      </c>
      <c r="B25" s="2" t="s">
        <v>20</v>
      </c>
      <c r="C25" s="2" t="s">
        <v>21</v>
      </c>
      <c r="D25" s="3" t="s">
        <v>22</v>
      </c>
      <c r="E25" s="2" t="s">
        <v>206</v>
      </c>
      <c r="F25" s="2" t="s">
        <v>207</v>
      </c>
      <c r="G25" s="10" t="s">
        <v>118</v>
      </c>
      <c r="H25" s="2" t="s">
        <v>26</v>
      </c>
      <c r="I25" s="2" t="s">
        <v>38</v>
      </c>
      <c r="J25" s="2" t="s">
        <v>39</v>
      </c>
      <c r="K25" s="2" t="s">
        <v>29</v>
      </c>
      <c r="L25" s="2" t="s">
        <v>208</v>
      </c>
      <c r="M25" s="2" t="s">
        <v>29</v>
      </c>
      <c r="N25" s="2" t="s">
        <v>209</v>
      </c>
      <c r="O25" s="5" t="s">
        <v>32</v>
      </c>
      <c r="P25" s="2" t="s">
        <v>33</v>
      </c>
      <c r="Q25" s="2" t="s">
        <v>234</v>
      </c>
      <c r="R25" s="2"/>
      <c r="S25" s="2" t="s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workbookViewId="0">
      <selection activeCell="B5" sqref="B5"/>
    </sheetView>
  </sheetViews>
  <sheetFormatPr defaultRowHeight="15" x14ac:dyDescent="0.25"/>
  <cols>
    <col min="1" max="1" width="25" customWidth="1"/>
    <col min="2" max="2" width="12" customWidth="1"/>
    <col min="3" max="3" width="14" customWidth="1"/>
  </cols>
  <sheetData>
    <row r="1" spans="1:4" ht="21" x14ac:dyDescent="0.35">
      <c r="A1" s="30" t="s">
        <v>211</v>
      </c>
      <c r="B1" s="31"/>
      <c r="C1" s="31"/>
      <c r="D1" s="31"/>
    </row>
    <row r="3" spans="1:4" x14ac:dyDescent="0.25">
      <c r="A3" s="12" t="s">
        <v>212</v>
      </c>
      <c r="B3" t="s">
        <v>213</v>
      </c>
    </row>
    <row r="4" spans="1:4" x14ac:dyDescent="0.25">
      <c r="A4" s="12" t="s">
        <v>214</v>
      </c>
      <c r="B4" t="s">
        <v>215</v>
      </c>
    </row>
    <row r="5" spans="1:4" x14ac:dyDescent="0.25">
      <c r="A5" s="12" t="s">
        <v>216</v>
      </c>
      <c r="B5" t="s">
        <v>234</v>
      </c>
    </row>
    <row r="6" spans="1:4" x14ac:dyDescent="0.25">
      <c r="A6" s="12" t="s">
        <v>217</v>
      </c>
      <c r="B6" t="s">
        <v>218</v>
      </c>
    </row>
    <row r="8" spans="1:4" x14ac:dyDescent="0.25">
      <c r="A8" s="13" t="s">
        <v>219</v>
      </c>
      <c r="B8" s="13" t="s">
        <v>220</v>
      </c>
      <c r="C8" s="13" t="s">
        <v>221</v>
      </c>
    </row>
    <row r="9" spans="1:4" x14ac:dyDescent="0.25">
      <c r="A9" s="14" t="s">
        <v>222</v>
      </c>
      <c r="B9" s="15">
        <f>COUNTA('API Test Cases'!A2:A25)</f>
        <v>24</v>
      </c>
      <c r="C9" s="16">
        <f>B9/B9</f>
        <v>1</v>
      </c>
    </row>
    <row r="10" spans="1:4" x14ac:dyDescent="0.25">
      <c r="A10" s="17" t="s">
        <v>223</v>
      </c>
      <c r="B10" s="18">
        <f>COUNTIF('API Test Cases'!O2:O25,"Pass")</f>
        <v>23</v>
      </c>
      <c r="C10" s="19">
        <f>B10/B9</f>
        <v>0.95833333333333337</v>
      </c>
    </row>
    <row r="11" spans="1:4" x14ac:dyDescent="0.25">
      <c r="A11" s="20" t="s">
        <v>224</v>
      </c>
      <c r="B11" s="21">
        <f>COUNTIF('API Test Cases'!O2:O25,"Fail")</f>
        <v>1</v>
      </c>
      <c r="C11" s="22">
        <f>B11/B9</f>
        <v>4.1666666666666664E-2</v>
      </c>
    </row>
    <row r="12" spans="1:4" x14ac:dyDescent="0.25">
      <c r="A12" s="23" t="s">
        <v>225</v>
      </c>
      <c r="B12" s="24">
        <f>COUNTIF('API Test Cases'!O2:O25,"Blocked")</f>
        <v>0</v>
      </c>
      <c r="C12" s="25">
        <f>B12/B9</f>
        <v>0</v>
      </c>
    </row>
    <row r="13" spans="1:4" x14ac:dyDescent="0.25">
      <c r="A13" s="26" t="s">
        <v>226</v>
      </c>
      <c r="B13" s="27">
        <f>COUNTIF('API Test Cases'!O2:O25,"Not Run")</f>
        <v>0</v>
      </c>
      <c r="C13" s="28">
        <f>B13/B9</f>
        <v>0</v>
      </c>
    </row>
    <row r="16" spans="1:4" ht="17.25" x14ac:dyDescent="0.3">
      <c r="A16" s="29" t="s">
        <v>227</v>
      </c>
    </row>
    <row r="17" spans="1:4" x14ac:dyDescent="0.25">
      <c r="A17" s="32" t="s">
        <v>228</v>
      </c>
      <c r="B17" s="31"/>
      <c r="C17" s="31"/>
      <c r="D17" s="31"/>
    </row>
    <row r="18" spans="1:4" x14ac:dyDescent="0.25">
      <c r="A18" s="32" t="s">
        <v>229</v>
      </c>
      <c r="B18" s="31"/>
      <c r="C18" s="31"/>
      <c r="D18" s="31"/>
    </row>
    <row r="19" spans="1:4" x14ac:dyDescent="0.25">
      <c r="A19" s="32" t="s">
        <v>230</v>
      </c>
      <c r="B19" s="31"/>
      <c r="C19" s="31"/>
      <c r="D19" s="31"/>
    </row>
    <row r="20" spans="1:4" x14ac:dyDescent="0.25">
      <c r="A20" s="32" t="s">
        <v>231</v>
      </c>
      <c r="B20" s="31"/>
      <c r="C20" s="31"/>
      <c r="D20" s="31"/>
    </row>
    <row r="21" spans="1:4" x14ac:dyDescent="0.25">
      <c r="A21" s="32" t="s">
        <v>232</v>
      </c>
      <c r="B21" s="31"/>
      <c r="C21" s="31"/>
      <c r="D21" s="31"/>
    </row>
    <row r="22" spans="1:4" x14ac:dyDescent="0.25">
      <c r="A22" s="32" t="s">
        <v>233</v>
      </c>
      <c r="B22" s="31"/>
      <c r="C22" s="31"/>
      <c r="D22" s="31"/>
    </row>
  </sheetData>
  <mergeCells count="7">
    <mergeCell ref="A1:D1"/>
    <mergeCell ref="A17:D17"/>
    <mergeCell ref="A18:D18"/>
    <mergeCell ref="A22:D22"/>
    <mergeCell ref="A20:D20"/>
    <mergeCell ref="A21:D2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ADRIAN-ȘTEFAN SĂMĂRTEAN</cp:lastModifiedBy>
  <dcterms:created xsi:type="dcterms:W3CDTF">2026-04-29T14:22:08Z</dcterms:created>
  <dcterms:modified xsi:type="dcterms:W3CDTF">2026-04-30T14:38:06Z</dcterms:modified>
</cp:coreProperties>
</file>