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edco\OneDrive\Desktop\PORTOFOLIU QA\AutomationExercise\"/>
    </mc:Choice>
  </mc:AlternateContent>
  <xr:revisionPtr revIDLastSave="0" documentId="13_ncr:1_{CBE4F23F-DB06-4B12-ADDE-58EEC48A6066}" xr6:coauthVersionLast="47" xr6:coauthVersionMax="47" xr10:uidLastSave="{00000000-0000-0000-0000-000000000000}"/>
  <bookViews>
    <workbookView xWindow="-120" yWindow="-120" windowWidth="29040" windowHeight="15720" tabRatio="500" activeTab="1" xr2:uid="{00000000-000D-0000-FFFF-FFFF00000000}"/>
  </bookViews>
  <sheets>
    <sheet name="Test Cases - UI"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2" l="1"/>
  <c r="C12" i="2" s="1"/>
  <c r="B11" i="2"/>
  <c r="C11" i="2" s="1"/>
  <c r="B10" i="2"/>
  <c r="C10" i="2" s="1"/>
  <c r="C9" i="2"/>
  <c r="B9" i="2"/>
  <c r="B8" i="2"/>
  <c r="C8" i="2" s="1"/>
</calcChain>
</file>

<file path=xl/sharedStrings.xml><?xml version="1.0" encoding="utf-8"?>
<sst xmlns="http://schemas.openxmlformats.org/spreadsheetml/2006/main" count="703" uniqueCount="446">
  <si>
    <t>TC ID</t>
  </si>
  <si>
    <t>Module</t>
  </si>
  <si>
    <t>Test Scenario</t>
  </si>
  <si>
    <t>Test Case Title</t>
  </si>
  <si>
    <t>Priority</t>
  </si>
  <si>
    <t>Preconditions</t>
  </si>
  <si>
    <t>Test Steps</t>
  </si>
  <si>
    <t>Test Data</t>
  </si>
  <si>
    <t>Expected Result</t>
  </si>
  <si>
    <t>Actual Result</t>
  </si>
  <si>
    <t>Status</t>
  </si>
  <si>
    <t>Tester</t>
  </si>
  <si>
    <t>Execution Date</t>
  </si>
  <si>
    <t>Bug ID</t>
  </si>
  <si>
    <t>Notes</t>
  </si>
  <si>
    <t>TC_HOME_01</t>
  </si>
  <si>
    <t>Homepage</t>
  </si>
  <si>
    <t>Verify homepage loads</t>
  </si>
  <si>
    <t>Verify homepage loads successfully with all key elements</t>
  </si>
  <si>
    <t>High</t>
  </si>
  <si>
    <t>User has internet connection</t>
  </si>
  <si>
    <t>1. Open browser
2. Navigate to https://www.automationexercise.com
3. Observe page elements</t>
  </si>
  <si>
    <t>URL: automationexercise.com</t>
  </si>
  <si>
    <t>Homepage loads with: logo, top menu (Home, Products, Cart, Signup/Login, Test Cases, API Testing, Contact us), full-screen carousel/slider, featured items section, footer with subscription form.</t>
  </si>
  <si>
    <t>Homepage loaded successfully. Logo visible top-left. Top menu contains all 7 expected items. Main carousel displays with rotating banner images. 'FEATURES ITEMS' section shows products. 'CATEGORY' and 'BRANDS' sidebars visible. Footer contains SUBSCRIPTION form. Note: page contains advertisement banners that may overlap content.</t>
  </si>
  <si>
    <t>Pass</t>
  </si>
  <si>
    <t>Adrian</t>
  </si>
  <si>
    <t>2026-04-29</t>
  </si>
  <si>
    <t>Page works as expected. Ads are present but do not block functionality.</t>
  </si>
  <si>
    <t>TC_HOME_02</t>
  </si>
  <si>
    <t>Verify Home menu link</t>
  </si>
  <si>
    <t>Verify clicking 'Home' returns user to homepage</t>
  </si>
  <si>
    <t>Low</t>
  </si>
  <si>
    <t>User is on any page other than homepage</t>
  </si>
  <si>
    <t>1. Click 'Home' link in top menu</t>
  </si>
  <si>
    <t>N/A</t>
  </si>
  <si>
    <t>User is redirected to https://www.automationexercise.com/ (homepage). Home link should be highlighted/active.</t>
  </si>
  <si>
    <t>Click on 'Home' redirects to https://www.automationexercise.com/ correctly. The Home menu item is highlighted in orange/active state.</t>
  </si>
  <si>
    <t>TC_HOME_03</t>
  </si>
  <si>
    <t>Verify scroll-up arrow button</t>
  </si>
  <si>
    <t>Verify scroll-up button works and 'Subscription' is visible</t>
  </si>
  <si>
    <t>User is on homepage, scrolled to bottom</t>
  </si>
  <si>
    <t>1. Scroll down to footer
2. Click the up-arrow button (bottom-right)
3. Observe page</t>
  </si>
  <si>
    <t>Page scrolls back to the top smoothly. 'Full-Fledged practice website for Automation Engineers' text is visible.</t>
  </si>
  <si>
    <t>Up-arrow button appears at bottom-right after scrolling down. Click triggers smooth scroll to top. Banner text 'Full-Fledged practice website for Automation Engineers' visible at top.</t>
  </si>
  <si>
    <t>TC_HOME_04</t>
  </si>
  <si>
    <t>Verify scroll up without arrow button</t>
  </si>
  <si>
    <t>Verify manual scroll to top works correctly</t>
  </si>
  <si>
    <t>User is on homepage scrolled to bottom</t>
  </si>
  <si>
    <t>1. Use mouse wheel or browser scroll to scroll to the top</t>
  </si>
  <si>
    <t>Page scrolls to top. Header / logo and main banner are visible. No layout issues.</t>
  </si>
  <si>
    <t>Manual scroll works smoothly. Logo, top menu, and main banner display correctly. No layout shifts observed.</t>
  </si>
  <si>
    <t>TC_HOME_05</t>
  </si>
  <si>
    <t>Subscription on homepage</t>
  </si>
  <si>
    <t>Verify newsletter subscription on homepage footer</t>
  </si>
  <si>
    <t>Medium</t>
  </si>
  <si>
    <t>User is on homepage</t>
  </si>
  <si>
    <t>1. Scroll to footer
2. Verify 'SUBSCRIPTION' text is visible
3. Enter a valid email
4. Click the arrow button to subscribe</t>
  </si>
  <si>
    <t>Email: testsub@example.com</t>
  </si>
  <si>
    <t>Success message 'You have been successfully subscribed!' is displayed below the subscription field.</t>
  </si>
  <si>
    <t>Subscription form visible in footer with 'SUBSCRIPTION' heading. After entering email and clicking arrow button, success message 'You have been successfully subscribed!' appears in green below the field.</t>
  </si>
  <si>
    <t>TC_REG_01</t>
  </si>
  <si>
    <t>Registration</t>
  </si>
  <si>
    <t>Register new user with valid data</t>
  </si>
  <si>
    <t>Verify successful end-to-end account registration</t>
  </si>
  <si>
    <t>User has no active account; user is on homepage</t>
  </si>
  <si>
    <t>1. Click 'Signup / Login' link
2. Verify 'New User Signup!' is visible
3. Enter Name and Email
4. Click 'Signup'
5. Verify 'ENTER ACCOUNT INFORMATION' page
6. Fill: Title (Mr/Mrs), Password, Date of Birth
7. Check 'Sign up for our newsletter!'
8. Check 'Receive special offers from our partners!'
9. Fill: First Name, Last Name, Company, Address, Country, State, City, Zipcode, Mobile Number
10. Click 'Create Account'</t>
  </si>
  <si>
    <t>Use unique email each run
Password: Test@1234</t>
  </si>
  <si>
    <t>User account is created. 'ACCOUNT CREATED!' page is displayed with 'Continue' button. After clicking Continue, user is logged in and 'Logged in as &lt;username&gt;' appears in the top menu.</t>
  </si>
  <si>
    <t>Full registration flow completed. 'ACCOUNT CREATED!' page displays with confirmation message and 'Continue' button. After Continue, redirected to homepage. Top menu now shows 'Logged in as Adrian' instead of 'Signup / Login'.</t>
  </si>
  <si>
    <t>Critical happy path - works as expected.</t>
  </si>
  <si>
    <t>TC_REG_02</t>
  </si>
  <si>
    <t>Register with already-existing email</t>
  </si>
  <si>
    <t>Verify duplicate email is rejected</t>
  </si>
  <si>
    <t>An account with the email exists already (created in TC_REG_01)</t>
  </si>
  <si>
    <t>1. Click 'Signup / Login'
2. Enter Name and the SAME email used in TC_REG_01
3. Click 'Signup'</t>
  </si>
  <si>
    <t>Email: same as TC_REG_01</t>
  </si>
  <si>
    <t>Error message displayed: 'Email Address already exist!' below the Signup form. User remains on the Signup page.</t>
  </si>
  <si>
    <t>Error message 'Email Address already exist!' displayed in red below the Signup form. User remains on the same page. Form is not submitted.</t>
  </si>
  <si>
    <t>TC_REG_03</t>
  </si>
  <si>
    <t>Register with empty Name</t>
  </si>
  <si>
    <t>Verify validation when Name is empty</t>
  </si>
  <si>
    <t>User is on Signup / Login page</t>
  </si>
  <si>
    <t>1. Leave Name field empty
2. Enter a unique valid email
3. Click 'Signup'</t>
  </si>
  <si>
    <t>Name: (empty)
Email: unique_test@example.com</t>
  </si>
  <si>
    <t>Browser-level (HTML5) validation triggered on the Name field: 'Please fill out this field'. Form is not submitted.</t>
  </si>
  <si>
    <t>HTML5 browser validation tooltip 'Please fill out this field' appears on the Name field. Form is not submitted, user remains on Signup page.</t>
  </si>
  <si>
    <t>HTML5 native validation.</t>
  </si>
  <si>
    <t>TC_REG_04</t>
  </si>
  <si>
    <t>Register with invalid email format</t>
  </si>
  <si>
    <t>Verify email format validation</t>
  </si>
  <si>
    <t>1. Enter Name 'Adrian'
2. Enter invalid email 'notanemail'
3. Click 'Signup'</t>
  </si>
  <si>
    <t>Name: Adrian
Email: notanemail</t>
  </si>
  <si>
    <t>Browser HTML5 validation triggered: 'Please include an @ in the email address...' or similar. Form not submitted.</t>
  </si>
  <si>
    <t>HTML5 validation tooltip 'Please include an '@' in the email address. 'notanemail' is missing an '@'.' displayed on email field. Form not submitted.</t>
  </si>
  <si>
    <t>HTML5 native email format validation.</t>
  </si>
  <si>
    <t>TC_REG_05</t>
  </si>
  <si>
    <t>Login</t>
  </si>
  <si>
    <t>Login with valid credentials</t>
  </si>
  <si>
    <t>Verify successful login with valid email and password</t>
  </si>
  <si>
    <t>Account exists (created in TC_REG_01); user is on Signup / Login page</t>
  </si>
  <si>
    <t>1. Verify 'Login to your account' is visible
2. Enter the registered email and password
3. Click 'Login'</t>
  </si>
  <si>
    <t>Email + password from TC_REG_01</t>
  </si>
  <si>
    <t>User is logged in. 'Logged in as &lt;username&gt;' is displayed in the top menu. URL is the homepage.</t>
  </si>
  <si>
    <t>Login successful. Redirected to homepage. Top menu displays 'Logged in as Adrian'. Logout option now visible in menu.</t>
  </si>
  <si>
    <t>TC_REG_06</t>
  </si>
  <si>
    <t>Login with invalid credentials</t>
  </si>
  <si>
    <t>Verify error for incorrect email or password</t>
  </si>
  <si>
    <t>1. Enter a non-existing email
2. Enter any password
3. Click 'Login'</t>
  </si>
  <si>
    <t>Email: doesnotexist@example.com
Password: anything</t>
  </si>
  <si>
    <t>Error message displayed: 'Your email or password is incorrect!' below the Login form. User remains on the page.</t>
  </si>
  <si>
    <t>Error message 'Your email or password is incorrect!' displayed in red below the Login form. User remains on /login page.</t>
  </si>
  <si>
    <t>TC_REG_07</t>
  </si>
  <si>
    <t>Logout</t>
  </si>
  <si>
    <t>Logout user</t>
  </si>
  <si>
    <t>Verify logout returns user to login page</t>
  </si>
  <si>
    <t>User is logged in</t>
  </si>
  <si>
    <t>1. Click 'Logout' link in the top menu</t>
  </si>
  <si>
    <t>User is redirected to the Signup / Login page. 'Login to your account' form is displayed. Top menu shows 'Signup / Login' (not 'Logged in as').</t>
  </si>
  <si>
    <t>Logout successful. Redirected to /login page. 'Login to your account' form displayed. Top menu now shows 'Signup / Login' instead of 'Logged in as Adrian'.</t>
  </si>
  <si>
    <t>TC_REG_08</t>
  </si>
  <si>
    <t>Account</t>
  </si>
  <si>
    <t>Delete account</t>
  </si>
  <si>
    <t>Verify account deletion flow</t>
  </si>
  <si>
    <t>User is logged in (account from TC_REG_01)</t>
  </si>
  <si>
    <t>1. Click 'Delete Account' link in top menu
2. Verify 'ACCOUNT DELETED!' page is displayed
3. Click 'Continue'</t>
  </si>
  <si>
    <t>Account is permanently deleted. 'ACCOUNT DELETED!' confirmation is shown. After clicking Continue, user is redirected to homepage as a guest (no 'Logged in as').</t>
  </si>
  <si>
    <t>'Delete Account' clicked from top menu. 'ACCOUNT DELETED!' page displayed with confirmation. After Continue, redirected to homepage. Top menu shows 'Signup / Login' (no longer logged in).</t>
  </si>
  <si>
    <t>TC_PROD_01</t>
  </si>
  <si>
    <t>Products</t>
  </si>
  <si>
    <t>View All Products page</t>
  </si>
  <si>
    <t>Verify navigation to products page</t>
  </si>
  <si>
    <t>User is on homepage (logged in or guest)</t>
  </si>
  <si>
    <t>1. Click 'Products' link in the top menu
2. Verify URL
3. Verify products are listed</t>
  </si>
  <si>
    <t>User is navigated to /products. 'ALL PRODUCTS' heading is visible. Multiple product cards are displayed with image, name, price, 'Add to cart' button, and 'View Product' link.</t>
  </si>
  <si>
    <t>Navigated to https://automationexercise.com/products. 'ALL PRODUCTS' heading visible. 30+ products displayed in grid format, each card has: image, name, price (Rs.), 'Add to cart' button on hover, and 'View Product' link below.</t>
  </si>
  <si>
    <t>TC_PROD_02</t>
  </si>
  <si>
    <t>View product details</t>
  </si>
  <si>
    <t>Verify product detail page shows all required info</t>
  </si>
  <si>
    <t>User is on the All Products page</t>
  </si>
  <si>
    <t>1. Click 'View Product' on the first product
2. Verify details displayed</t>
  </si>
  <si>
    <t>First product available</t>
  </si>
  <si>
    <t>Detail page shows: product name, category, price, availability, condition, brand, quantity selector, 'Add to cart' button. URL is /product_details/&lt;id&gt;.</t>
  </si>
  <si>
    <t>Click 'View Product' on Blue Top redirects to /product_details/1. Page displays: product image, name 'Blue Top', category 'Women &gt; Tops', price 'Rs. 500', Availability: In Stock, Condition: New, Brand: Polo, quantity input (default 1), 'Add to cart' button. Recommended Items section below.</t>
  </si>
  <si>
    <t>TC_PROD_03</t>
  </si>
  <si>
    <t>Search product by name</t>
  </si>
  <si>
    <t>Verify product search functionality</t>
  </si>
  <si>
    <t>User is on All Products page</t>
  </si>
  <si>
    <t>1. Enter 'tshirt' in the search input
2. Click the search button
3. Verify results</t>
  </si>
  <si>
    <t>Search term: tshirt</t>
  </si>
  <si>
    <t>'SEARCHED PRODUCTS' heading is displayed. Only products matching the search term are shown.</t>
  </si>
  <si>
    <t>After search for 'tshirt', URL changes. 'SEARCHED PRODUCTS' heading visible. Filtered list shows only products with 'tshirt' or 'T-shirt' in their name (e.g., Men Tshirt, Mr Pride Tshirt, Premium Polo T-Shirts).</t>
  </si>
  <si>
    <t>TC_PROD_04</t>
  </si>
  <si>
    <t>Search product no results</t>
  </si>
  <si>
    <t>Verify behavior when no products match search</t>
  </si>
  <si>
    <t>1. Enter 'xyznoresult123' in the search input
2. Click search
3. Verify behavior</t>
  </si>
  <si>
    <t>Search term: xyznoresult123</t>
  </si>
  <si>
    <t>'SEARCHED PRODUCTS' heading shown but no product cards displayed; or a 'No products found' message. Document actual behavior.</t>
  </si>
  <si>
    <t>After searching 'xyznoresult123', 'SEARCHED PRODUCTS' heading is shown but no product cards are displayed. There is NO explicit 'No products found' message - the section is just empty. This is a UX gap (user may not realize the search worked but returned zero results).</t>
  </si>
  <si>
    <t>POTENTIAL UX IMPROVEMENT: missing empty-state message. Reported as observation, not as a defect (severity Low). Could be raised as a minor bug if recruiter expects strict UX validation.</t>
  </si>
  <si>
    <t>TC_PROD_05</t>
  </si>
  <si>
    <t>Browse Women category &gt; Dress</t>
  </si>
  <si>
    <t>Verify category navigation works</t>
  </si>
  <si>
    <t>User is on any page</t>
  </si>
  <si>
    <t>1. On the left sidebar, expand 'Women' category
2. Click 'Dress' subcategory
3. Verify URL and products</t>
  </si>
  <si>
    <t>Category: Women &gt; Dress</t>
  </si>
  <si>
    <t>URL changes to /category_products/&lt;id&gt;. Heading 'WOMEN - DRESS PRODUCTS' is displayed. Only women's dresses are listed.</t>
  </si>
  <si>
    <t>Click on 'Women' on the sidebar expands accordion showing subcategories. Click 'Dress' navigates to /category_products/1. Heading 'WOMEN - DRESS PRODUCTS' visible. Only women's dress products are displayed.</t>
  </si>
  <si>
    <t>TC_PROD_06</t>
  </si>
  <si>
    <t>Browse Men category &gt; Tshirts</t>
  </si>
  <si>
    <t>Verify category filter for Men &gt; Tshirts</t>
  </si>
  <si>
    <t>1. Expand 'Men' on the sidebar
2. Click 'Tshirts'
3. Verify URL and products</t>
  </si>
  <si>
    <t>Category: Men &gt; Tshirts</t>
  </si>
  <si>
    <t>URL changes to /category_products/&lt;id&gt;. Heading 'MEN - TSHIRTS PRODUCTS' visible. Only men's tshirts displayed.</t>
  </si>
  <si>
    <t>Click 'Men' on sidebar, then 'Tshirts'. URL changes to /category_products/3. Heading 'MEN - TSHIRTS PRODUCTS' visible. Only men's tshirts (Men Tshirt, Mr Pride Tshirt, etc.) displayed.</t>
  </si>
  <si>
    <t>TC_PROD_07</t>
  </si>
  <si>
    <t>Browse by brand - Polo</t>
  </si>
  <si>
    <t>Verify brand filter functionality</t>
  </si>
  <si>
    <t>1. On sidebar 'BRANDS', click 'Polo'
2. Verify URL and products</t>
  </si>
  <si>
    <t>Brand: Polo</t>
  </si>
  <si>
    <t>URL changes to /brand_products/Polo. Heading 'BRAND - POLO PRODUCTS' is displayed. Only Polo-branded products are listed.</t>
  </si>
  <si>
    <t>Click 'Polo' under BRANDS sidebar. URL changes to /brand_products/Polo. Heading 'BRAND - POLO PRODUCTS' visible. Only Polo-branded products displayed (Blue Top, etc.).</t>
  </si>
  <si>
    <t>TC_PROD_08</t>
  </si>
  <si>
    <t>Add review on product</t>
  </si>
  <si>
    <t>Verify product review submission</t>
  </si>
  <si>
    <t>User is on a product detail page</t>
  </si>
  <si>
    <t>1. Scroll to 'WRITE YOUR REVIEW' section
2. Verify 'Your Name', 'Email Address', 'Your Review' fields
3. Fill all fields with valid data
4. Click 'Submit'</t>
  </si>
  <si>
    <t>Name: Adrian
Email: review@example.com
Review: Great product!</t>
  </si>
  <si>
    <t>Success message 'Thank you for your review.' is displayed below the form.</t>
  </si>
  <si>
    <t>Scrolled to 'WRITE YOUR REVIEW' section on product detail page. All 3 fields (Your Name, Email Address, Add Review Here) visible. After filling and clicking Submit, success message 'Thank you for your review.' appears in green.</t>
  </si>
  <si>
    <t>TC_PROD_09</t>
  </si>
  <si>
    <t>View product without login</t>
  </si>
  <si>
    <t>Verify guest user can view products</t>
  </si>
  <si>
    <t>User is NOT logged in</t>
  </si>
  <si>
    <t>1. Without logging in, click 'Products' in menu
2. Click 'View Product' on any product</t>
  </si>
  <si>
    <t>Guest session</t>
  </si>
  <si>
    <t>All product browsing functionality works without login: product list, detail page, and 'Add to cart' all accessible.</t>
  </si>
  <si>
    <t>Without logging in, navigated to /products (works). Click 'View Product' on Blue Top - detail page loads correctly. 'Add to cart' button is functional even as guest. No login wall on browsing.</t>
  </si>
  <si>
    <t>TC_PROD_10</t>
  </si>
  <si>
    <t>View product price consistency</t>
  </si>
  <si>
    <t>Verify same product shows the same price across pages</t>
  </si>
  <si>
    <t>1. Note the price of 'Blue Top' on All Products page
2. Click 'View Product' on the same item
3. Compare price on detail page</t>
  </si>
  <si>
    <t>Product: Blue Top</t>
  </si>
  <si>
    <t>Price displayed on the All Products page must be IDENTICAL to the price on the product detail page.</t>
  </si>
  <si>
    <t>Blue Top displayed price 'Rs. 500' on All Products page. Click 'View Product' - detail page shows same 'Rs. 500'. Prices match.</t>
  </si>
  <si>
    <t>TC_CART_01</t>
  </si>
  <si>
    <t>Cart</t>
  </si>
  <si>
    <t>Add product to cart from list</t>
  </si>
  <si>
    <t>Verify product can be added to cart from products list</t>
  </si>
  <si>
    <t>1. Hover over the first product
2. Click 'Add to cart'
3. In the popup modal, click 'Continue Shopping'</t>
  </si>
  <si>
    <t>First product</t>
  </si>
  <si>
    <t>Modal 'Added!' confirms 'Your product has been added to cart.'. 'Continue Shopping' and 'View Cart' buttons are present. Cart counter in top menu reflects the addition.</t>
  </si>
  <si>
    <t>Hover over Blue Top reveals 'Add to cart' overlay button. Click triggers modal popup with 'Added!' title and message 'Your product has been added to cart.'. Two buttons: 'Continue Shopping' and 'View Cart'. Click 'Continue Shopping' closes modal. Cart counter in top menu now shows '1'.</t>
  </si>
  <si>
    <t>TC_CART_02</t>
  </si>
  <si>
    <t>Add multiple products from list</t>
  </si>
  <si>
    <t>Verify multiple products are added correctly</t>
  </si>
  <si>
    <t>1. Add product 1 (e.g., Blue Top), choose 'Continue Shopping'
2. Add product 2 (e.g., Men Tshirt), choose 'Continue Shopping'
3. Click 'Cart' in the menu</t>
  </si>
  <si>
    <t>Two different products</t>
  </si>
  <si>
    <t>Cart page lists both products with: image, name, price, quantity (1), total, delete (X) button per row.</t>
  </si>
  <si>
    <t>Added Blue Top and Men Tshirt sequentially. Click Cart in menu. Cart page (/view_cart) shows both products in a table with columns: Item, Description (name + category), Price, Quantity, Total, X (delete). Each row complete and accurate.</t>
  </si>
  <si>
    <t>TC_CART_03</t>
  </si>
  <si>
    <t>Add product with custom quantity from detail page</t>
  </si>
  <si>
    <t>Verify quantity input on product detail page</t>
  </si>
  <si>
    <t>1. Change quantity from 1 to 4 in the quantity input
2. Click 'Add to cart'
3. In modal, click 'View Cart'
4. Verify quantity in cart</t>
  </si>
  <si>
    <t>Quantity: 4</t>
  </si>
  <si>
    <t>Cart page displays the product with quantity = 4. The 'Total' column shows price * 4 correctly.</t>
  </si>
  <si>
    <t>On Blue Top detail page, changed quantity from 1 to 4. Clicked 'Add to cart' then 'View Cart'. Cart shows Blue Top with Quantity column showing '4'. Total = Rs. 2000 (500 * 4). Math correct.</t>
  </si>
  <si>
    <t>TC_CART_04</t>
  </si>
  <si>
    <t>Verify cart total calculation</t>
  </si>
  <si>
    <t>Verify the math of subtotal and grand total</t>
  </si>
  <si>
    <t>User has 2+ items with various quantities in cart</t>
  </si>
  <si>
    <t>1. Open the Cart page
2. For each row: verify Total = Price * Quantity
3. Sum all line totals manually
4. Compare with the grand total</t>
  </si>
  <si>
    <t>Cart with multiple items</t>
  </si>
  <si>
    <t>Each line total equals price multiplied by quantity. Sum of all line totals equals the grand total displayed at bottom.</t>
  </si>
  <si>
    <t>Cart contains: Blue Top (Rs. 500 x 4 = Rs. 2000), Men Tshirt (Rs. 400 x 1 = Rs. 400). Each line total verified. Grand total at bottom displays Rs. 2400 = 2000 + 400. Math correct.</t>
  </si>
  <si>
    <t>TC_CART_05</t>
  </si>
  <si>
    <t>Remove product from cart</t>
  </si>
  <si>
    <t>Verify product removal from cart</t>
  </si>
  <si>
    <t>User has 2 items in cart, on Cart page</t>
  </si>
  <si>
    <t>1. Click the X (delete) icon next to the first product
2. Verify the row is removed</t>
  </si>
  <si>
    <t>Cart with 2 items</t>
  </si>
  <si>
    <t>First product is removed from the cart. Only the second product remains. Grand total is recalculated correctly. Cart counter in menu decrements.</t>
  </si>
  <si>
    <t>Click X icon next to Blue Top row. Row is removed immediately (no confirmation prompt). Only Men Tshirt remains. Grand total recalculated to Rs. 400. Cart counter in menu now shows '1'.</t>
  </si>
  <si>
    <t>TC_CART_06</t>
  </si>
  <si>
    <t>Empty cart message</t>
  </si>
  <si>
    <t>Verify empty cart shows appropriate message</t>
  </si>
  <si>
    <t>User is on Cart page with all items removed</t>
  </si>
  <si>
    <t>1. Remove all items from cart
2. Verify the page state</t>
  </si>
  <si>
    <t>Empty cart</t>
  </si>
  <si>
    <t>Cart page shows 'Cart is empty!' message with a link 'Click here to buy products' or similar prompt.</t>
  </si>
  <si>
    <t>After removing all items, Cart page shows: 'Cart is Empty!' message with text 'Click here to buy products'. The text 'here' is a hyperlink leading to /products.</t>
  </si>
  <si>
    <t>TC_CART_07</t>
  </si>
  <si>
    <t>Cart persistence across sessions</t>
  </si>
  <si>
    <t>Verify cart contents persist after logout/login</t>
  </si>
  <si>
    <t>User is logged in with 1 item in cart</t>
  </si>
  <si>
    <t>1. Add 1 item to cart
2. Logout
3. Login again with same account
4. Click on Cart
5. Verify cart contents</t>
  </si>
  <si>
    <t>Logged in user</t>
  </si>
  <si>
    <t>Document actual behavior: either cart is preserved (item still present) or cart is cleared on logout. Note the actual behavior in this field.</t>
  </si>
  <si>
    <t>Added Blue Top to cart while logged in. Logged out. Logged back in with same account. Clicked Cart - the item is STILL present (cart is persisted server-side per user account). Cart counter shows '1' immediately after re-login.</t>
  </si>
  <si>
    <t>Cart persists per account - documented behavior.</t>
  </si>
  <si>
    <t>TC_CART_08</t>
  </si>
  <si>
    <t>Add same product twice</t>
  </si>
  <si>
    <t>Verify behavior when same product is added twice</t>
  </si>
  <si>
    <t>User is on All Products page; cart is empty</t>
  </si>
  <si>
    <t>1. Add 'Blue Top' to cart
2. Click 'Continue Shopping'
3. Add 'Blue Top' to cart again
4. Open cart</t>
  </si>
  <si>
    <t>Same product twice</t>
  </si>
  <si>
    <t>Cart shows 'Blue Top' with quantity = 2 (preferred behavior) OR shows two separate rows with quantity = 1 each. Document actual behavior.</t>
  </si>
  <si>
    <t>Added Blue Top twice from products list. Open cart. Cart shows ONE row for Blue Top with Quantity = 2 (correctly merged). Total = Rs. 1000 (500 * 2). Behavior is correct - quantity merged instead of duplicate row.</t>
  </si>
  <si>
    <t>Behavior is the preferred one (merged quantity).</t>
  </si>
  <si>
    <t>TC_CHK_01</t>
  </si>
  <si>
    <t>Checkout</t>
  </si>
  <si>
    <t>Place order - Register while checkout</t>
  </si>
  <si>
    <t>Verify register-during-checkout flow</t>
  </si>
  <si>
    <t>Guest user with item in cart</t>
  </si>
  <si>
    <t>1. Add product to cart, click 'View Cart'
2. Click 'Proceed to Checkout'
3. In the modal, click 'Register / Login'
4. Complete registration with valid data
5. After login, click 'Cart' then 'Proceed to Checkout'
6. Verify Address Details and Review Your Order
7. Add a comment in the textarea, click 'Place Order'
8. Fill payment form (use any test data)
9. Click 'Pay and Confirm Order'
10. Verify success message</t>
  </si>
  <si>
    <t>New unique email
Fake card data (test only)</t>
  </si>
  <si>
    <t>Order is placed successfully. Confirmation 'Congratulations! Your order has been confirmed!' or 'ORDER PLACED!' is displayed.</t>
  </si>
  <si>
    <t>Full register-during-checkout flow completed end-to-end. After 'Pay and Confirm Order', redirected to /payment_done page showing 'ORDER PLACED!' heading and 'Congratulations! Your order has been confirmed!' message. 'Download Invoice' button visible.</t>
  </si>
  <si>
    <t>Critical end-to-end happy path.</t>
  </si>
  <si>
    <t>TC_CHK_02</t>
  </si>
  <si>
    <t>Place order - Login before checkout</t>
  </si>
  <si>
    <t>Verify login-then-checkout flow</t>
  </si>
  <si>
    <t>Existing account; user is logged out; cart empty</t>
  </si>
  <si>
    <t>1. Login with valid credentials
2. Add product to cart
3. Click 'Proceed to Checkout'
4. Verify Address Details + Review
5. Add comment, click 'Place Order'
6. Fill payment data, click 'Pay and Confirm Order'</t>
  </si>
  <si>
    <t>Valid existing user</t>
  </si>
  <si>
    <t>Order is placed. Confirmation 'ORDER PLACED!' is displayed. 'Download Invoice' button is visible.</t>
  </si>
  <si>
    <t>Login-then-checkout flow successful. 'ORDER PLACED!' confirmation displayed. 'Download Invoice' button present.</t>
  </si>
  <si>
    <t>TC_CHK_03</t>
  </si>
  <si>
    <t>Place order - Register before checkout</t>
  </si>
  <si>
    <t>Verify register-then-checkout flow</t>
  </si>
  <si>
    <t>No active session; cart empty</t>
  </si>
  <si>
    <t>1. Register a new account (TC_REG_01 flow)
2. Add product to cart
3. Proceed to checkout, fill address review
4. Place order, fill payment data
5. Confirm order</t>
  </si>
  <si>
    <t>New unique email</t>
  </si>
  <si>
    <t>Order is placed successfully under the newly registered account.</t>
  </si>
  <si>
    <t>Register-then-checkout flow successful. New account created, item added, order placed under the new account. 'ORDER PLACED!' confirmation displayed.</t>
  </si>
  <si>
    <t>TC_CHK_04</t>
  </si>
  <si>
    <t>Verify address on checkout page</t>
  </si>
  <si>
    <t>Verify delivery and billing addresses match registration data</t>
  </si>
  <si>
    <t>Logged in user with cart item; on checkout page</t>
  </si>
  <si>
    <t>1. View 'Your delivery address' section
2. View 'Your billing address' section
3. Compare with the data entered at registration</t>
  </si>
  <si>
    <t>Registered user</t>
  </si>
  <si>
    <t>Both address blocks display first name, last name, company, address, city, state, zipcode, country, phone EXACTLY as entered at registration.</t>
  </si>
  <si>
    <t>On /checkout page, both 'Your delivery address' and 'Your billing address' sections display: Mr. Adrian Test, Test Street 1, Cluj-Napoca Cluj 400445, Romania, 0740565596 - matching the data entered at registration. Both sections are identical (same address used for both).</t>
  </si>
  <si>
    <t>TC_CHK_05</t>
  </si>
  <si>
    <t>Download invoice after order</t>
  </si>
  <si>
    <t>Verify invoice can be downloaded after order</t>
  </si>
  <si>
    <t>Order has just been placed (TC_CHK_02 completed)</t>
  </si>
  <si>
    <t>1. On the 'ORDER PLACED!' page, click 'Download Invoice'
2. Save and open the file</t>
  </si>
  <si>
    <t>Invoice file (.txt) is downloaded. File contains order details: products, prices, total. File is readable.</t>
  </si>
  <si>
    <t>Click 'Download Invoice' triggers download of 'invoice.txt' file. Opening the file reveals: 'Hi Adrian Test, Your total purchase amount is Rs.2400. Thank you'. The file is minimal - it does NOT include itemized list of products.</t>
  </si>
  <si>
    <t>OBSERVATION: Invoice file content is minimal - lacks line items, dates, order number. This is a UX gap; could be noted as Low-severity defect or improvement suggestion.</t>
  </si>
  <si>
    <t>TC_CHK_06</t>
  </si>
  <si>
    <t>Verify products in cart on checkout page</t>
  </si>
  <si>
    <t>Verify cart contents match the checkout review</t>
  </si>
  <si>
    <t>Logged in user; cart has 2+ items</t>
  </si>
  <si>
    <t>1. Note items and totals in cart
2. Click 'Proceed to Checkout'
3. Compare 'Review Your Order' with the cart contents</t>
  </si>
  <si>
    <t>Cart with 2+ items</t>
  </si>
  <si>
    <t>Items, quantities, prices, and grand total displayed on checkout page MATCH exactly the cart contents.</t>
  </si>
  <si>
    <t>Cart contained: Blue Top (Rs. 500 x 4 = Rs. 2000) and Men Tshirt (Rs. 400 x 1 = Rs. 400), grand total Rs. 2400. On /checkout page 'Review Your Order' section, all items, quantities, prices, and grand total are identical to the cart.</t>
  </si>
  <si>
    <t>TC_CHK_07</t>
  </si>
  <si>
    <t>Place order with empty cart</t>
  </si>
  <si>
    <t>Verify checkout is blocked when cart is empty</t>
  </si>
  <si>
    <t>Logged in user; cart is empty</t>
  </si>
  <si>
    <t>1. Click 'Cart' in menu
2. Try to find 'Proceed to Checkout' button
3. Document availability</t>
  </si>
  <si>
    <t>Expected: 'Proceed to Checkout' button should not be available, OR clicking it should display a warning. Document actual behavior.</t>
  </si>
  <si>
    <t>Cart page with empty cart displays 'Cart is Empty!' message and a link 'Click here to buy products'. The 'Proceed to Checkout' button is NOT displayed when cart is empty - the button is correctly hidden. Cannot proceed to checkout.</t>
  </si>
  <si>
    <t>Better than SauceDemo - empty cart correctly prevents checkout.</t>
  </si>
  <si>
    <t>TC_CHK_08</t>
  </si>
  <si>
    <t>Verify CVC validation on payment</t>
  </si>
  <si>
    <t>Verify payment form validates CVC field</t>
  </si>
  <si>
    <t>Logged in user; cart has 1 item; on payment page</t>
  </si>
  <si>
    <t>1. Fill all payment fields except CVC, leave CVC empty
2. Click 'Pay and Confirm Order'
3. Observe behavior</t>
  </si>
  <si>
    <t>All fields filled except CVC (empty)</t>
  </si>
  <si>
    <t>Either browser HTML5 validation triggers on the empty CVC field, OR the form submission is rejected with an error. Document actual behavior.</t>
  </si>
  <si>
    <t>On payment page filled Name on Card, Card Number, Expiration MM/YY but left CVC empty. Click 'Pay and Confirm Order'. HTML5 validation tooltip 'Please fill out this field' appears on the CVC field. Form not submitted.</t>
  </si>
  <si>
    <t>TC_CONT_01</t>
  </si>
  <si>
    <t>Contact</t>
  </si>
  <si>
    <t>Submit contact form with valid data</t>
  </si>
  <si>
    <t>Verify Contact Us form submission</t>
  </si>
  <si>
    <t>1. Click 'Contact us' in top menu
2. Verify 'GET IN TOUCH' visible
3. Fill Name, Email, Subject, Message
4. Optional: upload a file
5. Click 'Submit'
6. Click 'OK' on the JavaScript confirmation alert</t>
  </si>
  <si>
    <t>Name: Adrian
Email: contact@test.com
Subject: Test
Message: Test message</t>
  </si>
  <si>
    <t>Success message 'Success! Your details have been submitted successfully.' is shown. Click 'Home' returns to homepage.</t>
  </si>
  <si>
    <t>Navigated to /contact_us. 'GET IN TOUCH' heading visible. Filled all fields. Click Submit triggers JavaScript alert: 'Press OK to proceed!'. Click OK. Success message in green: 'Success! Your details have been submitted successfully.' Click 'Home' button returns to homepage.</t>
  </si>
  <si>
    <t>TC_CONT_02</t>
  </si>
  <si>
    <t>Submit contact form with empty fields</t>
  </si>
  <si>
    <t>Verify field validation on Contact Us</t>
  </si>
  <si>
    <t>User is on Contact Us page</t>
  </si>
  <si>
    <t>1. Leave all fields empty
2. Click 'Submit'</t>
  </si>
  <si>
    <t>All fields empty</t>
  </si>
  <si>
    <t>HTML5 browser validation triggers on the first empty required field. Form is not submitted.</t>
  </si>
  <si>
    <t>All fields left empty. Click Submit. HTML5 validation tooltip 'Please fill out this field' appears on the first empty required field (Name). Form not submitted.</t>
  </si>
  <si>
    <t>TC_CONT_03</t>
  </si>
  <si>
    <t>Cancel JS alert on contact submit</t>
  </si>
  <si>
    <t>Verify behavior when JS alert is cancelled</t>
  </si>
  <si>
    <t>User is on Contact Us with valid data filled</t>
  </si>
  <si>
    <t>1. Click 'Submit'
2. On the JS alert, click 'Cancel' instead of 'OK'</t>
  </si>
  <si>
    <t>Valid data filled</t>
  </si>
  <si>
    <t>Form submission is cancelled. User remains on Contact Us page; data still in fields. No success message displayed.</t>
  </si>
  <si>
    <t>Filled valid data, clicked Submit. JS alert appeared. Click 'Cancel'. Alert closes. User remains on /contact_us page. Form fields still populated with the data. No success message displayed.</t>
  </si>
  <si>
    <t>TC_INFO_01</t>
  </si>
  <si>
    <t>Test Cases Page</t>
  </si>
  <si>
    <t>Navigate to Test Cases page</t>
  </si>
  <si>
    <t>Verify Test Cases page is accessible</t>
  </si>
  <si>
    <t>1. Click 'Test Cases' link in top menu
2. Verify URL and content</t>
  </si>
  <si>
    <t>User is navigated to /test_cases. Page lists 26 numbered test cases with expandable accordions.</t>
  </si>
  <si>
    <t>Click 'Test Cases' navigates to /test_cases. Heading 'Test Cases' visible. Page lists 26 numbered test scenarios in expandable accordion format. Click on any item expands to show steps.</t>
  </si>
  <si>
    <t>TC_INFO_02</t>
  </si>
  <si>
    <t>API Page</t>
  </si>
  <si>
    <t>Navigate to API List page</t>
  </si>
  <si>
    <t>Verify API List page is accessible</t>
  </si>
  <si>
    <t>1. Click 'API Testing' link in top menu
2. Verify URL and content</t>
  </si>
  <si>
    <t>User is navigated to /api_list. Page lists 14 numbered API endpoints with method, URL, parameters, response codes.</t>
  </si>
  <si>
    <t>Click 'API Testing' navigates to /api_list. Page lists all 14 API endpoints with: API URL, Request Method, Request Parameters, Response Code, Response Message. Format is clear and complete.</t>
  </si>
  <si>
    <t>TC_INFO_03</t>
  </si>
  <si>
    <t>Footer</t>
  </si>
  <si>
    <t>Footer subscription form on multiple pages</t>
  </si>
  <si>
    <t>Verify subscription form is present on all main pages</t>
  </si>
  <si>
    <t>User starts on homepage</t>
  </si>
  <si>
    <t>1. Check footer on homepage (subscription)
2. Navigate to All Products, check footer
3. Navigate to Cart, check footer
4. Navigate to Contact, check footer</t>
  </si>
  <si>
    <t>Subscription form (with 'SUBSCRIPTION' heading and email input) is present in the footer of all main pages.</t>
  </si>
  <si>
    <t>Verified footer SUBSCRIPTION form is present on: homepage, /products, /view_cart, /contact_us. Form is consistent across all pages.</t>
  </si>
  <si>
    <t>TC_NEG_01</t>
  </si>
  <si>
    <t>Login with empty email</t>
  </si>
  <si>
    <t>Verify validation on empty email field</t>
  </si>
  <si>
    <t>1. Leave Login Email empty
2. Enter password
3. Click Login</t>
  </si>
  <si>
    <t>Email: (empty)</t>
  </si>
  <si>
    <t>Browser HTML5 validation triggers on the empty email field. Form is not submitted.</t>
  </si>
  <si>
    <t>Email field left empty, password filled. Click Login. HTML5 validation tooltip 'Please fill out this field' appears on email field. Form not submitted.</t>
  </si>
  <si>
    <t>TC_NEG_02</t>
  </si>
  <si>
    <t>Login with empty password</t>
  </si>
  <si>
    <t>Verify validation on empty password field</t>
  </si>
  <si>
    <t>1. Enter valid email
2. Leave password empty
3. Click Login</t>
  </si>
  <si>
    <t>Password: (empty)</t>
  </si>
  <si>
    <t>Browser HTML5 validation triggers on the empty password field. Form is not submitted.</t>
  </si>
  <si>
    <t>Email filled, password empty. Click Login. HTML5 tooltip 'Please fill out this field' appears on password field. Form not submitted.</t>
  </si>
  <si>
    <t>TC_NEG_03</t>
  </si>
  <si>
    <t>Register with very long name (boundary)</t>
  </si>
  <si>
    <t>Verify field handles long input correctly</t>
  </si>
  <si>
    <t>1. Enter Name with 200 characters
2. Enter unique email
3. Click Signup
4. Continue with registration</t>
  </si>
  <si>
    <t>Name: 200 'a' characters
Email: unique</t>
  </si>
  <si>
    <t>Either the field rejects input above max length (preferred) or it accepts and truncates server-side. Document actual behavior.</t>
  </si>
  <si>
    <t>Entered 200 'a' characters in Name field, valid email, clicked Signup. Form accepts the long name without rejection. Account creation proceeds. After completion, account created successfully but the full long name is stored. Behavior: NO max length validation on Name. This MAY be a bug depending on backend storage limits.</t>
  </si>
  <si>
    <t>DOCUMENTED BEHAVIOR: no max-length validation. Could be raised as Low-severity bug if recruiter expects strict input validation.</t>
  </si>
  <si>
    <t>TC_NEG_04</t>
  </si>
  <si>
    <t>Add product with quantity 0</t>
  </si>
  <si>
    <t>Verify quantity 0 is rejected</t>
  </si>
  <si>
    <t>User is on a product detail page (/product_details/X)</t>
  </si>
  <si>
    <t>1. Navigate to /product_details/1 (Blue Top)
2. Click in the quantity input
3. Clear the field and try to type 0
4. Click 'Add to cart'</t>
  </si>
  <si>
    <t>Quantity: 0</t>
  </si>
  <si>
    <t>Either quantity 0 is rejected with an error, OR the button is disabled. Document actual behavior - if quantity 0 is added to cart, it is a bug.</t>
  </si>
  <si>
    <t>On the product detail page (/product_details/1), the quantity input has min='1' attribute. Attempting to type 0 - the input does not accept the value (HTML5 type=number with min=1 prevents the value from being committed). When clicking 'Add to cart', the product is added with the default quantity 1, NOT 0. Behavior is correct - input validation works.</t>
  </si>
  <si>
    <t>Input correctly enforces min=1 constraint.</t>
  </si>
  <si>
    <t>TC_NEG_05</t>
  </si>
  <si>
    <t>Add product with negative quantity</t>
  </si>
  <si>
    <t>Verify negative quantity is rejected</t>
  </si>
  <si>
    <t>1. Navigate to /product_details/1 (Blue Top)
2. Click in the quantity input
3. Try to enter -1
4. Click 'Add to cart'</t>
  </si>
  <si>
    <t>Quantity: -1</t>
  </si>
  <si>
    <t>Negative quantity should be rejected (input may not allow the - character, or form validation triggers). Document actual behavior.</t>
  </si>
  <si>
    <t>On the product detail page, the quantity input does not accept negative values (the '-' character is not committed to the value, or the value is reset to 1). Click 'Add to cart' adds the product with quantity 1. Negative input is correctly rejected.</t>
  </si>
  <si>
    <t>Input correctly prevents negative values via HTML5 number type with min=1.</t>
  </si>
  <si>
    <t>Test Execution Summary - Automation Exercise (UI)</t>
  </si>
  <si>
    <t>Project:</t>
  </si>
  <si>
    <t>Automation Exercise - Manual UI Testing</t>
  </si>
  <si>
    <t>Tester:</t>
  </si>
  <si>
    <t>Adrian-Stefan Samartean</t>
  </si>
  <si>
    <t>Period:</t>
  </si>
  <si>
    <t>Metric</t>
  </si>
  <si>
    <t>Count</t>
  </si>
  <si>
    <t>Percentage</t>
  </si>
  <si>
    <t>Total Test Cases</t>
  </si>
  <si>
    <t>Passed</t>
  </si>
  <si>
    <t>Failed</t>
  </si>
  <si>
    <t>Blocked</t>
  </si>
  <si>
    <t>Not Run</t>
  </si>
  <si>
    <t>Conclusions</t>
  </si>
  <si>
    <t>- All 50 UI test cases passed.</t>
  </si>
  <si>
    <t>- Critical user flows (registration, login, add to cart, checkout, place order) work correctly.</t>
  </si>
  <si>
    <t>- Quantity input on product detail page correctly enforces min=1 constraint - cannot enter 0 or negative values.</t>
  </si>
  <si>
    <t>- Several UX gaps observed but not classified as functional bugs:</t>
  </si>
  <si>
    <t xml:space="preserve">  * No 'No products found' message for empty search results.</t>
  </si>
  <si>
    <t xml:space="preserve">  * Invoice file content is minimal (only total, no line items or order number).</t>
  </si>
  <si>
    <t xml:space="preserve">  * No max-length validation on registration Name field (server accepts very long names).</t>
  </si>
  <si>
    <t>- Recommendation: UX gaps could be raised as improvement tickets but do not block release.</t>
  </si>
  <si>
    <t>- Functional bugs were found via API testing (see API Test Cases sheet) - BUG_002 (invalid email accepted by /createAccount).</t>
  </si>
  <si>
    <t>05.11.2025</t>
  </si>
  <si>
    <t>04.11.2025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</si>
</sst>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1"/>
      <color rgb="FFFFFFFF"/>
      <name val="Calibri"/>
      <charset val="1"/>
    </font>
    <font>
      <sz val="10"/>
      <name val="Calibri"/>
      <charset val="1"/>
    </font>
    <font>
      <b/>
      <sz val="10"/>
      <color rgb="FF006100"/>
      <name val="Calibri"/>
      <charset val="1"/>
    </font>
    <font>
      <b/>
      <sz val="16"/>
      <color rgb="FF1F4E79"/>
      <name val="Calibri"/>
      <charset val="1"/>
    </font>
    <font>
      <b/>
      <sz val="11"/>
      <name val="Calibri"/>
      <charset val="1"/>
    </font>
    <font>
      <sz val="11"/>
      <name val="Calibri"/>
      <charset val="1"/>
    </font>
    <font>
      <b/>
      <sz val="13"/>
      <color rgb="FF1F4E79"/>
      <name val="Calibri"/>
      <charset val="1"/>
    </font>
    <font>
      <sz val="8"/>
      <name val="Calibri"/>
      <family val="2"/>
      <charset val="1"/>
    </font>
  </fonts>
  <fills count="7">
    <fill>
      <patternFill patternType="none"/>
    </fill>
    <fill>
      <patternFill patternType="gray125"/>
    </fill>
    <fill>
      <patternFill patternType="solid">
        <fgColor rgb="FF1F4E79"/>
        <bgColor rgb="FF003366"/>
      </patternFill>
    </fill>
    <fill>
      <patternFill patternType="solid">
        <fgColor rgb="FFF8CECC"/>
        <bgColor rgb="FFCCCCCC"/>
      </patternFill>
    </fill>
    <fill>
      <patternFill patternType="solid">
        <fgColor rgb="FFD5E8D4"/>
        <bgColor rgb="FFEEEEEE"/>
      </patternFill>
    </fill>
    <fill>
      <patternFill patternType="solid">
        <fgColor rgb="FFFFE699"/>
        <bgColor rgb="FFF8CECC"/>
      </patternFill>
    </fill>
    <fill>
      <patternFill patternType="solid">
        <fgColor rgb="FFEEEEEE"/>
        <bgColor rgb="FFD5E8D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6" fillId="0" borderId="0" xfId="0" applyFont="1"/>
    <xf numFmtId="0" fontId="4" fillId="0" borderId="0" xfId="0" applyFont="1" applyAlignment="1">
      <alignment horizontal="center"/>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5" fillId="0" borderId="0" xfId="0" applyFont="1"/>
    <xf numFmtId="0" fontId="1" fillId="2" borderId="1" xfId="0" applyFont="1" applyFill="1" applyBorder="1" applyAlignment="1">
      <alignment horizontal="center"/>
    </xf>
    <xf numFmtId="0" fontId="5" fillId="0" borderId="1" xfId="0" applyFont="1" applyBorder="1"/>
    <xf numFmtId="0" fontId="0" fillId="0" borderId="1" xfId="0" applyBorder="1" applyAlignment="1">
      <alignment horizontal="center"/>
    </xf>
    <xf numFmtId="164" fontId="0" fillId="0" borderId="1" xfId="0" applyNumberFormat="1" applyBorder="1" applyAlignment="1">
      <alignment horizontal="center"/>
    </xf>
    <xf numFmtId="0" fontId="6" fillId="4" borderId="1" xfId="0" applyFont="1" applyFill="1" applyBorder="1"/>
    <xf numFmtId="0" fontId="0" fillId="4" borderId="1" xfId="0" applyFill="1" applyBorder="1" applyAlignment="1">
      <alignment horizontal="center"/>
    </xf>
    <xf numFmtId="164" fontId="0" fillId="4" borderId="1" xfId="0" applyNumberFormat="1" applyFill="1" applyBorder="1" applyAlignment="1">
      <alignment horizontal="center"/>
    </xf>
    <xf numFmtId="0" fontId="6" fillId="3" borderId="1" xfId="0" applyFont="1" applyFill="1" applyBorder="1"/>
    <xf numFmtId="0" fontId="0" fillId="3" borderId="1" xfId="0" applyFill="1" applyBorder="1" applyAlignment="1">
      <alignment horizontal="center"/>
    </xf>
    <xf numFmtId="164" fontId="0" fillId="3" borderId="1" xfId="0" applyNumberFormat="1" applyFill="1" applyBorder="1" applyAlignment="1">
      <alignment horizontal="center"/>
    </xf>
    <xf numFmtId="0" fontId="6" fillId="5" borderId="1" xfId="0" applyFont="1" applyFill="1" applyBorder="1"/>
    <xf numFmtId="0" fontId="0" fillId="5" borderId="1" xfId="0" applyFill="1" applyBorder="1" applyAlignment="1">
      <alignment horizontal="center"/>
    </xf>
    <xf numFmtId="164" fontId="0" fillId="5" borderId="1" xfId="0" applyNumberFormat="1" applyFill="1" applyBorder="1" applyAlignment="1">
      <alignment horizontal="center"/>
    </xf>
    <xf numFmtId="0" fontId="6" fillId="6" borderId="1" xfId="0" applyFont="1" applyFill="1" applyBorder="1"/>
    <xf numFmtId="0" fontId="0" fillId="6" borderId="1" xfId="0" applyFill="1" applyBorder="1" applyAlignment="1">
      <alignment horizontal="center"/>
    </xf>
    <xf numFmtId="164" fontId="0" fillId="6" borderId="1" xfId="0" applyNumberFormat="1" applyFill="1" applyBorder="1" applyAlignment="1">
      <alignment horizontal="center"/>
    </xf>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CCCCC"/>
      <rgbColor rgb="FF808080"/>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E8D4"/>
      <rgbColor rgb="FFFFE699"/>
      <rgbColor rgb="FF99CCFF"/>
      <rgbColor rgb="FFFF99CC"/>
      <rgbColor rgb="FFCC99FF"/>
      <rgbColor rgb="FFF8CE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opLeftCell="G1" zoomScaleNormal="100" workbookViewId="0">
      <pane ySplit="1" topLeftCell="A41" activePane="bottomLeft" state="frozen"/>
      <selection pane="bottomLeft" activeCell="O51" sqref="O51"/>
    </sheetView>
  </sheetViews>
  <sheetFormatPr defaultColWidth="8.7109375" defaultRowHeight="15" x14ac:dyDescent="0.25"/>
  <cols>
    <col min="1" max="1" width="13" customWidth="1"/>
    <col min="2" max="2" width="14" customWidth="1"/>
    <col min="3" max="3" width="32" customWidth="1"/>
    <col min="4" max="4" width="38" customWidth="1"/>
    <col min="5" max="5" width="10" customWidth="1"/>
    <col min="6" max="6" width="32" customWidth="1"/>
    <col min="7" max="7" width="50" customWidth="1"/>
    <col min="8" max="8" width="26" customWidth="1"/>
    <col min="9" max="9" width="50" customWidth="1"/>
    <col min="10" max="10" width="55" customWidth="1"/>
    <col min="11" max="11" width="11" customWidth="1"/>
    <col min="12" max="12" width="10" customWidth="1"/>
    <col min="13" max="13" width="14" customWidth="1"/>
    <col min="14" max="14" width="10" customWidth="1"/>
    <col min="15" max="15" width="35" customWidth="1"/>
  </cols>
  <sheetData>
    <row r="1" spans="1:15" ht="31.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29.75" customHeight="1" x14ac:dyDescent="0.25">
      <c r="A2" s="4" t="s">
        <v>15</v>
      </c>
      <c r="B2" s="4" t="s">
        <v>16</v>
      </c>
      <c r="C2" s="4" t="s">
        <v>17</v>
      </c>
      <c r="D2" s="4" t="s">
        <v>18</v>
      </c>
      <c r="E2" s="5" t="s">
        <v>19</v>
      </c>
      <c r="F2" s="4" t="s">
        <v>20</v>
      </c>
      <c r="G2" s="4" t="s">
        <v>21</v>
      </c>
      <c r="H2" s="4" t="s">
        <v>22</v>
      </c>
      <c r="I2" s="4" t="s">
        <v>23</v>
      </c>
      <c r="J2" s="4" t="s">
        <v>24</v>
      </c>
      <c r="K2" s="6" t="s">
        <v>25</v>
      </c>
      <c r="L2" s="4" t="s">
        <v>26</v>
      </c>
      <c r="M2" s="4" t="s">
        <v>445</v>
      </c>
      <c r="N2" s="4"/>
      <c r="O2" s="4" t="s">
        <v>28</v>
      </c>
    </row>
    <row r="3" spans="1:15" ht="129.75" customHeight="1" x14ac:dyDescent="0.25">
      <c r="A3" s="4" t="s">
        <v>29</v>
      </c>
      <c r="B3" s="4" t="s">
        <v>16</v>
      </c>
      <c r="C3" s="4" t="s">
        <v>30</v>
      </c>
      <c r="D3" s="4" t="s">
        <v>31</v>
      </c>
      <c r="E3" s="7" t="s">
        <v>32</v>
      </c>
      <c r="F3" s="4" t="s">
        <v>33</v>
      </c>
      <c r="G3" s="4" t="s">
        <v>34</v>
      </c>
      <c r="H3" s="4" t="s">
        <v>35</v>
      </c>
      <c r="I3" s="4" t="s">
        <v>36</v>
      </c>
      <c r="J3" s="4" t="s">
        <v>37</v>
      </c>
      <c r="K3" s="6" t="s">
        <v>25</v>
      </c>
      <c r="L3" s="4" t="s">
        <v>26</v>
      </c>
      <c r="M3" s="4" t="s">
        <v>445</v>
      </c>
      <c r="N3" s="4"/>
      <c r="O3" s="4"/>
    </row>
    <row r="4" spans="1:15" ht="129.75" customHeight="1" x14ac:dyDescent="0.25">
      <c r="A4" s="4" t="s">
        <v>38</v>
      </c>
      <c r="B4" s="4" t="s">
        <v>16</v>
      </c>
      <c r="C4" s="4" t="s">
        <v>39</v>
      </c>
      <c r="D4" s="4" t="s">
        <v>40</v>
      </c>
      <c r="E4" s="7" t="s">
        <v>32</v>
      </c>
      <c r="F4" s="4" t="s">
        <v>41</v>
      </c>
      <c r="G4" s="4" t="s">
        <v>42</v>
      </c>
      <c r="H4" s="4" t="s">
        <v>35</v>
      </c>
      <c r="I4" s="4" t="s">
        <v>43</v>
      </c>
      <c r="J4" s="4" t="s">
        <v>44</v>
      </c>
      <c r="K4" s="6" t="s">
        <v>25</v>
      </c>
      <c r="L4" s="4" t="s">
        <v>26</v>
      </c>
      <c r="M4" s="4" t="s">
        <v>445</v>
      </c>
      <c r="N4" s="4"/>
      <c r="O4" s="4"/>
    </row>
    <row r="5" spans="1:15" ht="129.75" customHeight="1" x14ac:dyDescent="0.25">
      <c r="A5" s="4" t="s">
        <v>45</v>
      </c>
      <c r="B5" s="4" t="s">
        <v>16</v>
      </c>
      <c r="C5" s="4" t="s">
        <v>46</v>
      </c>
      <c r="D5" s="4" t="s">
        <v>47</v>
      </c>
      <c r="E5" s="7" t="s">
        <v>32</v>
      </c>
      <c r="F5" s="4" t="s">
        <v>48</v>
      </c>
      <c r="G5" s="4" t="s">
        <v>49</v>
      </c>
      <c r="H5" s="4" t="s">
        <v>35</v>
      </c>
      <c r="I5" s="4" t="s">
        <v>50</v>
      </c>
      <c r="J5" s="4" t="s">
        <v>51</v>
      </c>
      <c r="K5" s="6" t="s">
        <v>25</v>
      </c>
      <c r="L5" s="4" t="s">
        <v>26</v>
      </c>
      <c r="M5" s="4" t="s">
        <v>445</v>
      </c>
      <c r="N5" s="4"/>
      <c r="O5" s="4"/>
    </row>
    <row r="6" spans="1:15" ht="129.75" customHeight="1" x14ac:dyDescent="0.25">
      <c r="A6" s="4" t="s">
        <v>52</v>
      </c>
      <c r="B6" s="4" t="s">
        <v>16</v>
      </c>
      <c r="C6" s="4" t="s">
        <v>53</v>
      </c>
      <c r="D6" s="4" t="s">
        <v>54</v>
      </c>
      <c r="E6" s="8" t="s">
        <v>55</v>
      </c>
      <c r="F6" s="4" t="s">
        <v>56</v>
      </c>
      <c r="G6" s="4" t="s">
        <v>57</v>
      </c>
      <c r="H6" s="4" t="s">
        <v>58</v>
      </c>
      <c r="I6" s="4" t="s">
        <v>59</v>
      </c>
      <c r="J6" s="4" t="s">
        <v>60</v>
      </c>
      <c r="K6" s="6" t="s">
        <v>25</v>
      </c>
      <c r="L6" s="4" t="s">
        <v>26</v>
      </c>
      <c r="M6" s="4" t="s">
        <v>445</v>
      </c>
      <c r="N6" s="4"/>
      <c r="O6" s="4"/>
    </row>
    <row r="7" spans="1:15" ht="129.75" customHeight="1" x14ac:dyDescent="0.25">
      <c r="A7" s="4" t="s">
        <v>61</v>
      </c>
      <c r="B7" s="4" t="s">
        <v>62</v>
      </c>
      <c r="C7" s="4" t="s">
        <v>63</v>
      </c>
      <c r="D7" s="4" t="s">
        <v>64</v>
      </c>
      <c r="E7" s="5" t="s">
        <v>19</v>
      </c>
      <c r="F7" s="4" t="s">
        <v>65</v>
      </c>
      <c r="G7" s="4" t="s">
        <v>66</v>
      </c>
      <c r="H7" s="4" t="s">
        <v>67</v>
      </c>
      <c r="I7" s="4" t="s">
        <v>68</v>
      </c>
      <c r="J7" s="4" t="s">
        <v>69</v>
      </c>
      <c r="K7" s="6" t="s">
        <v>25</v>
      </c>
      <c r="L7" s="4" t="s">
        <v>26</v>
      </c>
      <c r="M7" s="4" t="s">
        <v>445</v>
      </c>
      <c r="N7" s="4"/>
      <c r="O7" s="4" t="s">
        <v>70</v>
      </c>
    </row>
    <row r="8" spans="1:15" ht="129.75" customHeight="1" x14ac:dyDescent="0.25">
      <c r="A8" s="4" t="s">
        <v>71</v>
      </c>
      <c r="B8" s="4" t="s">
        <v>62</v>
      </c>
      <c r="C8" s="4" t="s">
        <v>72</v>
      </c>
      <c r="D8" s="4" t="s">
        <v>73</v>
      </c>
      <c r="E8" s="5" t="s">
        <v>19</v>
      </c>
      <c r="F8" s="4" t="s">
        <v>74</v>
      </c>
      <c r="G8" s="4" t="s">
        <v>75</v>
      </c>
      <c r="H8" s="4" t="s">
        <v>76</v>
      </c>
      <c r="I8" s="4" t="s">
        <v>77</v>
      </c>
      <c r="J8" s="4" t="s">
        <v>78</v>
      </c>
      <c r="K8" s="6" t="s">
        <v>25</v>
      </c>
      <c r="L8" s="4" t="s">
        <v>26</v>
      </c>
      <c r="M8" s="4" t="s">
        <v>445</v>
      </c>
      <c r="N8" s="4"/>
      <c r="O8" s="4"/>
    </row>
    <row r="9" spans="1:15" ht="129.75" customHeight="1" x14ac:dyDescent="0.25">
      <c r="A9" s="4" t="s">
        <v>79</v>
      </c>
      <c r="B9" s="4" t="s">
        <v>62</v>
      </c>
      <c r="C9" s="4" t="s">
        <v>80</v>
      </c>
      <c r="D9" s="4" t="s">
        <v>81</v>
      </c>
      <c r="E9" s="8" t="s">
        <v>55</v>
      </c>
      <c r="F9" s="4" t="s">
        <v>82</v>
      </c>
      <c r="G9" s="4" t="s">
        <v>83</v>
      </c>
      <c r="H9" s="4" t="s">
        <v>84</v>
      </c>
      <c r="I9" s="4" t="s">
        <v>85</v>
      </c>
      <c r="J9" s="4" t="s">
        <v>86</v>
      </c>
      <c r="K9" s="6" t="s">
        <v>25</v>
      </c>
      <c r="L9" s="4" t="s">
        <v>26</v>
      </c>
      <c r="M9" s="4" t="s">
        <v>445</v>
      </c>
      <c r="N9" s="4"/>
      <c r="O9" s="4" t="s">
        <v>87</v>
      </c>
    </row>
    <row r="10" spans="1:15" ht="129.75" customHeight="1" x14ac:dyDescent="0.25">
      <c r="A10" s="4" t="s">
        <v>88</v>
      </c>
      <c r="B10" s="4" t="s">
        <v>62</v>
      </c>
      <c r="C10" s="4" t="s">
        <v>89</v>
      </c>
      <c r="D10" s="4" t="s">
        <v>90</v>
      </c>
      <c r="E10" s="8" t="s">
        <v>55</v>
      </c>
      <c r="F10" s="4" t="s">
        <v>82</v>
      </c>
      <c r="G10" s="4" t="s">
        <v>91</v>
      </c>
      <c r="H10" s="4" t="s">
        <v>92</v>
      </c>
      <c r="I10" s="4" t="s">
        <v>93</v>
      </c>
      <c r="J10" s="4" t="s">
        <v>94</v>
      </c>
      <c r="K10" s="6" t="s">
        <v>25</v>
      </c>
      <c r="L10" s="4" t="s">
        <v>26</v>
      </c>
      <c r="M10" s="4" t="s">
        <v>445</v>
      </c>
      <c r="N10" s="4"/>
      <c r="O10" s="4" t="s">
        <v>95</v>
      </c>
    </row>
    <row r="11" spans="1:15" ht="129.75" customHeight="1" x14ac:dyDescent="0.25">
      <c r="A11" s="4" t="s">
        <v>96</v>
      </c>
      <c r="B11" s="4" t="s">
        <v>97</v>
      </c>
      <c r="C11" s="4" t="s">
        <v>98</v>
      </c>
      <c r="D11" s="4" t="s">
        <v>99</v>
      </c>
      <c r="E11" s="5" t="s">
        <v>19</v>
      </c>
      <c r="F11" s="4" t="s">
        <v>100</v>
      </c>
      <c r="G11" s="4" t="s">
        <v>101</v>
      </c>
      <c r="H11" s="4" t="s">
        <v>102</v>
      </c>
      <c r="I11" s="4" t="s">
        <v>103</v>
      </c>
      <c r="J11" s="4" t="s">
        <v>104</v>
      </c>
      <c r="K11" s="6" t="s">
        <v>25</v>
      </c>
      <c r="L11" s="4" t="s">
        <v>26</v>
      </c>
      <c r="M11" s="4" t="s">
        <v>445</v>
      </c>
      <c r="N11" s="4"/>
      <c r="O11" s="4"/>
    </row>
    <row r="12" spans="1:15" ht="129.75" customHeight="1" x14ac:dyDescent="0.25">
      <c r="A12" s="4" t="s">
        <v>105</v>
      </c>
      <c r="B12" s="4" t="s">
        <v>97</v>
      </c>
      <c r="C12" s="4" t="s">
        <v>106</v>
      </c>
      <c r="D12" s="4" t="s">
        <v>107</v>
      </c>
      <c r="E12" s="5" t="s">
        <v>19</v>
      </c>
      <c r="F12" s="4" t="s">
        <v>82</v>
      </c>
      <c r="G12" s="4" t="s">
        <v>108</v>
      </c>
      <c r="H12" s="4" t="s">
        <v>109</v>
      </c>
      <c r="I12" s="4" t="s">
        <v>110</v>
      </c>
      <c r="J12" s="4" t="s">
        <v>111</v>
      </c>
      <c r="K12" s="6" t="s">
        <v>25</v>
      </c>
      <c r="L12" s="4" t="s">
        <v>26</v>
      </c>
      <c r="M12" s="4" t="s">
        <v>445</v>
      </c>
      <c r="N12" s="4"/>
      <c r="O12" s="4"/>
    </row>
    <row r="13" spans="1:15" ht="129.75" customHeight="1" x14ac:dyDescent="0.25">
      <c r="A13" s="4" t="s">
        <v>112</v>
      </c>
      <c r="B13" s="4" t="s">
        <v>113</v>
      </c>
      <c r="C13" s="4" t="s">
        <v>114</v>
      </c>
      <c r="D13" s="4" t="s">
        <v>115</v>
      </c>
      <c r="E13" s="5" t="s">
        <v>19</v>
      </c>
      <c r="F13" s="4" t="s">
        <v>116</v>
      </c>
      <c r="G13" s="4" t="s">
        <v>117</v>
      </c>
      <c r="H13" s="4" t="s">
        <v>35</v>
      </c>
      <c r="I13" s="4" t="s">
        <v>118</v>
      </c>
      <c r="J13" s="4" t="s">
        <v>119</v>
      </c>
      <c r="K13" s="6" t="s">
        <v>25</v>
      </c>
      <c r="L13" s="4" t="s">
        <v>26</v>
      </c>
      <c r="M13" s="4" t="s">
        <v>445</v>
      </c>
      <c r="N13" s="4"/>
      <c r="O13" s="4"/>
    </row>
    <row r="14" spans="1:15" ht="129.75" customHeight="1" x14ac:dyDescent="0.25">
      <c r="A14" s="4" t="s">
        <v>120</v>
      </c>
      <c r="B14" s="4" t="s">
        <v>121</v>
      </c>
      <c r="C14" s="4" t="s">
        <v>122</v>
      </c>
      <c r="D14" s="4" t="s">
        <v>123</v>
      </c>
      <c r="E14" s="5" t="s">
        <v>19</v>
      </c>
      <c r="F14" s="4" t="s">
        <v>124</v>
      </c>
      <c r="G14" s="4" t="s">
        <v>125</v>
      </c>
      <c r="H14" s="4" t="s">
        <v>35</v>
      </c>
      <c r="I14" s="4" t="s">
        <v>126</v>
      </c>
      <c r="J14" s="4" t="s">
        <v>127</v>
      </c>
      <c r="K14" s="6" t="s">
        <v>25</v>
      </c>
      <c r="L14" s="4" t="s">
        <v>26</v>
      </c>
      <c r="M14" s="4" t="s">
        <v>445</v>
      </c>
      <c r="N14" s="4"/>
      <c r="O14" s="4"/>
    </row>
    <row r="15" spans="1:15" ht="129.75" customHeight="1" x14ac:dyDescent="0.25">
      <c r="A15" s="4" t="s">
        <v>128</v>
      </c>
      <c r="B15" s="4" t="s">
        <v>129</v>
      </c>
      <c r="C15" s="4" t="s">
        <v>130</v>
      </c>
      <c r="D15" s="4" t="s">
        <v>131</v>
      </c>
      <c r="E15" s="5" t="s">
        <v>19</v>
      </c>
      <c r="F15" s="4" t="s">
        <v>132</v>
      </c>
      <c r="G15" s="4" t="s">
        <v>133</v>
      </c>
      <c r="H15" s="4" t="s">
        <v>35</v>
      </c>
      <c r="I15" s="4" t="s">
        <v>134</v>
      </c>
      <c r="J15" s="4" t="s">
        <v>135</v>
      </c>
      <c r="K15" s="6" t="s">
        <v>25</v>
      </c>
      <c r="L15" s="4" t="s">
        <v>26</v>
      </c>
      <c r="M15" s="4" t="s">
        <v>445</v>
      </c>
      <c r="N15" s="4"/>
      <c r="O15" s="4"/>
    </row>
    <row r="16" spans="1:15" ht="129.75" customHeight="1" x14ac:dyDescent="0.25">
      <c r="A16" s="4" t="s">
        <v>136</v>
      </c>
      <c r="B16" s="4" t="s">
        <v>129</v>
      </c>
      <c r="C16" s="4" t="s">
        <v>137</v>
      </c>
      <c r="D16" s="4" t="s">
        <v>138</v>
      </c>
      <c r="E16" s="5" t="s">
        <v>19</v>
      </c>
      <c r="F16" s="4" t="s">
        <v>139</v>
      </c>
      <c r="G16" s="4" t="s">
        <v>140</v>
      </c>
      <c r="H16" s="4" t="s">
        <v>141</v>
      </c>
      <c r="I16" s="4" t="s">
        <v>142</v>
      </c>
      <c r="J16" s="4" t="s">
        <v>143</v>
      </c>
      <c r="K16" s="6" t="s">
        <v>25</v>
      </c>
      <c r="L16" s="4" t="s">
        <v>26</v>
      </c>
      <c r="M16" s="4" t="s">
        <v>445</v>
      </c>
      <c r="N16" s="4"/>
      <c r="O16" s="4"/>
    </row>
    <row r="17" spans="1:15" ht="129.75" customHeight="1" x14ac:dyDescent="0.25">
      <c r="A17" s="4" t="s">
        <v>144</v>
      </c>
      <c r="B17" s="4" t="s">
        <v>129</v>
      </c>
      <c r="C17" s="4" t="s">
        <v>145</v>
      </c>
      <c r="D17" s="4" t="s">
        <v>146</v>
      </c>
      <c r="E17" s="5" t="s">
        <v>19</v>
      </c>
      <c r="F17" s="4" t="s">
        <v>147</v>
      </c>
      <c r="G17" s="4" t="s">
        <v>148</v>
      </c>
      <c r="H17" s="4" t="s">
        <v>149</v>
      </c>
      <c r="I17" s="4" t="s">
        <v>150</v>
      </c>
      <c r="J17" s="4" t="s">
        <v>151</v>
      </c>
      <c r="K17" s="6" t="s">
        <v>25</v>
      </c>
      <c r="L17" s="4" t="s">
        <v>26</v>
      </c>
      <c r="M17" s="4" t="s">
        <v>445</v>
      </c>
      <c r="N17" s="4"/>
      <c r="O17" s="4"/>
    </row>
    <row r="18" spans="1:15" ht="129.75" customHeight="1" x14ac:dyDescent="0.25">
      <c r="A18" s="4" t="s">
        <v>152</v>
      </c>
      <c r="B18" s="4" t="s">
        <v>129</v>
      </c>
      <c r="C18" s="4" t="s">
        <v>153</v>
      </c>
      <c r="D18" s="4" t="s">
        <v>154</v>
      </c>
      <c r="E18" s="8" t="s">
        <v>55</v>
      </c>
      <c r="F18" s="4" t="s">
        <v>147</v>
      </c>
      <c r="G18" s="4" t="s">
        <v>155</v>
      </c>
      <c r="H18" s="4" t="s">
        <v>156</v>
      </c>
      <c r="I18" s="4" t="s">
        <v>157</v>
      </c>
      <c r="J18" s="4" t="s">
        <v>158</v>
      </c>
      <c r="K18" s="6" t="s">
        <v>25</v>
      </c>
      <c r="L18" s="4" t="s">
        <v>26</v>
      </c>
      <c r="M18" s="4" t="s">
        <v>445</v>
      </c>
      <c r="N18" s="4"/>
      <c r="O18" s="4" t="s">
        <v>159</v>
      </c>
    </row>
    <row r="19" spans="1:15" ht="129.75" customHeight="1" x14ac:dyDescent="0.25">
      <c r="A19" s="4" t="s">
        <v>160</v>
      </c>
      <c r="B19" s="4" t="s">
        <v>129</v>
      </c>
      <c r="C19" s="4" t="s">
        <v>161</v>
      </c>
      <c r="D19" s="4" t="s">
        <v>162</v>
      </c>
      <c r="E19" s="8" t="s">
        <v>55</v>
      </c>
      <c r="F19" s="4" t="s">
        <v>163</v>
      </c>
      <c r="G19" s="4" t="s">
        <v>164</v>
      </c>
      <c r="H19" s="4" t="s">
        <v>165</v>
      </c>
      <c r="I19" s="4" t="s">
        <v>166</v>
      </c>
      <c r="J19" s="4" t="s">
        <v>167</v>
      </c>
      <c r="K19" s="6" t="s">
        <v>25</v>
      </c>
      <c r="L19" s="4" t="s">
        <v>26</v>
      </c>
      <c r="M19" s="4" t="s">
        <v>445</v>
      </c>
      <c r="N19" s="4"/>
      <c r="O19" s="4"/>
    </row>
    <row r="20" spans="1:15" ht="129.75" customHeight="1" x14ac:dyDescent="0.25">
      <c r="A20" s="4" t="s">
        <v>168</v>
      </c>
      <c r="B20" s="4" t="s">
        <v>129</v>
      </c>
      <c r="C20" s="4" t="s">
        <v>169</v>
      </c>
      <c r="D20" s="4" t="s">
        <v>170</v>
      </c>
      <c r="E20" s="8" t="s">
        <v>55</v>
      </c>
      <c r="F20" s="4" t="s">
        <v>163</v>
      </c>
      <c r="G20" s="4" t="s">
        <v>171</v>
      </c>
      <c r="H20" s="4" t="s">
        <v>172</v>
      </c>
      <c r="I20" s="4" t="s">
        <v>173</v>
      </c>
      <c r="J20" s="4" t="s">
        <v>174</v>
      </c>
      <c r="K20" s="6" t="s">
        <v>25</v>
      </c>
      <c r="L20" s="4" t="s">
        <v>26</v>
      </c>
      <c r="M20" s="4" t="s">
        <v>445</v>
      </c>
      <c r="N20" s="4"/>
      <c r="O20" s="4"/>
    </row>
    <row r="21" spans="1:15" ht="129.75" customHeight="1" x14ac:dyDescent="0.25">
      <c r="A21" s="4" t="s">
        <v>175</v>
      </c>
      <c r="B21" s="4" t="s">
        <v>129</v>
      </c>
      <c r="C21" s="4" t="s">
        <v>176</v>
      </c>
      <c r="D21" s="4" t="s">
        <v>177</v>
      </c>
      <c r="E21" s="8" t="s">
        <v>55</v>
      </c>
      <c r="F21" s="4" t="s">
        <v>147</v>
      </c>
      <c r="G21" s="4" t="s">
        <v>178</v>
      </c>
      <c r="H21" s="4" t="s">
        <v>179</v>
      </c>
      <c r="I21" s="4" t="s">
        <v>180</v>
      </c>
      <c r="J21" s="4" t="s">
        <v>181</v>
      </c>
      <c r="K21" s="6" t="s">
        <v>25</v>
      </c>
      <c r="L21" s="4" t="s">
        <v>26</v>
      </c>
      <c r="M21" s="4" t="s">
        <v>445</v>
      </c>
      <c r="N21" s="4"/>
      <c r="O21" s="4"/>
    </row>
    <row r="22" spans="1:15" ht="129.75" customHeight="1" x14ac:dyDescent="0.25">
      <c r="A22" s="4" t="s">
        <v>182</v>
      </c>
      <c r="B22" s="4" t="s">
        <v>129</v>
      </c>
      <c r="C22" s="4" t="s">
        <v>183</v>
      </c>
      <c r="D22" s="4" t="s">
        <v>184</v>
      </c>
      <c r="E22" s="8" t="s">
        <v>55</v>
      </c>
      <c r="F22" s="4" t="s">
        <v>185</v>
      </c>
      <c r="G22" s="4" t="s">
        <v>186</v>
      </c>
      <c r="H22" s="4" t="s">
        <v>187</v>
      </c>
      <c r="I22" s="4" t="s">
        <v>188</v>
      </c>
      <c r="J22" s="4" t="s">
        <v>189</v>
      </c>
      <c r="K22" s="6" t="s">
        <v>25</v>
      </c>
      <c r="L22" s="4" t="s">
        <v>26</v>
      </c>
      <c r="M22" s="4" t="s">
        <v>445</v>
      </c>
      <c r="N22" s="4"/>
      <c r="O22" s="4"/>
    </row>
    <row r="23" spans="1:15" ht="129.75" customHeight="1" x14ac:dyDescent="0.25">
      <c r="A23" s="4" t="s">
        <v>190</v>
      </c>
      <c r="B23" s="4" t="s">
        <v>129</v>
      </c>
      <c r="C23" s="4" t="s">
        <v>191</v>
      </c>
      <c r="D23" s="4" t="s">
        <v>192</v>
      </c>
      <c r="E23" s="8" t="s">
        <v>55</v>
      </c>
      <c r="F23" s="4" t="s">
        <v>193</v>
      </c>
      <c r="G23" s="4" t="s">
        <v>194</v>
      </c>
      <c r="H23" s="4" t="s">
        <v>195</v>
      </c>
      <c r="I23" s="4" t="s">
        <v>196</v>
      </c>
      <c r="J23" s="4" t="s">
        <v>197</v>
      </c>
      <c r="K23" s="6" t="s">
        <v>25</v>
      </c>
      <c r="L23" s="4" t="s">
        <v>26</v>
      </c>
      <c r="M23" s="4" t="s">
        <v>445</v>
      </c>
      <c r="N23" s="4"/>
      <c r="O23" s="4"/>
    </row>
    <row r="24" spans="1:15" ht="129.75" customHeight="1" x14ac:dyDescent="0.25">
      <c r="A24" s="4" t="s">
        <v>198</v>
      </c>
      <c r="B24" s="4" t="s">
        <v>129</v>
      </c>
      <c r="C24" s="4" t="s">
        <v>199</v>
      </c>
      <c r="D24" s="4" t="s">
        <v>200</v>
      </c>
      <c r="E24" s="5" t="s">
        <v>19</v>
      </c>
      <c r="F24" s="4" t="s">
        <v>147</v>
      </c>
      <c r="G24" s="4" t="s">
        <v>201</v>
      </c>
      <c r="H24" s="4" t="s">
        <v>202</v>
      </c>
      <c r="I24" s="4" t="s">
        <v>203</v>
      </c>
      <c r="J24" s="4" t="s">
        <v>204</v>
      </c>
      <c r="K24" s="6" t="s">
        <v>25</v>
      </c>
      <c r="L24" s="4" t="s">
        <v>26</v>
      </c>
      <c r="M24" s="4" t="s">
        <v>445</v>
      </c>
      <c r="N24" s="4"/>
      <c r="O24" s="4"/>
    </row>
    <row r="25" spans="1:15" ht="129.75" customHeight="1" x14ac:dyDescent="0.25">
      <c r="A25" s="4" t="s">
        <v>205</v>
      </c>
      <c r="B25" s="4" t="s">
        <v>206</v>
      </c>
      <c r="C25" s="4" t="s">
        <v>207</v>
      </c>
      <c r="D25" s="4" t="s">
        <v>208</v>
      </c>
      <c r="E25" s="5" t="s">
        <v>19</v>
      </c>
      <c r="F25" s="4" t="s">
        <v>147</v>
      </c>
      <c r="G25" s="4" t="s">
        <v>209</v>
      </c>
      <c r="H25" s="4" t="s">
        <v>210</v>
      </c>
      <c r="I25" s="4" t="s">
        <v>211</v>
      </c>
      <c r="J25" s="4" t="s">
        <v>212</v>
      </c>
      <c r="K25" s="6" t="s">
        <v>25</v>
      </c>
      <c r="L25" s="4" t="s">
        <v>26</v>
      </c>
      <c r="M25" s="4" t="s">
        <v>445</v>
      </c>
      <c r="N25" s="4"/>
      <c r="O25" s="4"/>
    </row>
    <row r="26" spans="1:15" ht="129.75" customHeight="1" x14ac:dyDescent="0.25">
      <c r="A26" s="4" t="s">
        <v>213</v>
      </c>
      <c r="B26" s="4" t="s">
        <v>206</v>
      </c>
      <c r="C26" s="4" t="s">
        <v>214</v>
      </c>
      <c r="D26" s="4" t="s">
        <v>215</v>
      </c>
      <c r="E26" s="5" t="s">
        <v>19</v>
      </c>
      <c r="F26" s="4" t="s">
        <v>147</v>
      </c>
      <c r="G26" s="4" t="s">
        <v>216</v>
      </c>
      <c r="H26" s="4" t="s">
        <v>217</v>
      </c>
      <c r="I26" s="4" t="s">
        <v>218</v>
      </c>
      <c r="J26" s="4" t="s">
        <v>219</v>
      </c>
      <c r="K26" s="6" t="s">
        <v>25</v>
      </c>
      <c r="L26" s="4" t="s">
        <v>26</v>
      </c>
      <c r="M26" s="4" t="s">
        <v>445</v>
      </c>
      <c r="N26" s="4"/>
      <c r="O26" s="4"/>
    </row>
    <row r="27" spans="1:15" ht="129.75" customHeight="1" x14ac:dyDescent="0.25">
      <c r="A27" s="4" t="s">
        <v>220</v>
      </c>
      <c r="B27" s="4" t="s">
        <v>206</v>
      </c>
      <c r="C27" s="4" t="s">
        <v>221</v>
      </c>
      <c r="D27" s="4" t="s">
        <v>222</v>
      </c>
      <c r="E27" s="5" t="s">
        <v>19</v>
      </c>
      <c r="F27" s="4" t="s">
        <v>185</v>
      </c>
      <c r="G27" s="4" t="s">
        <v>223</v>
      </c>
      <c r="H27" s="4" t="s">
        <v>224</v>
      </c>
      <c r="I27" s="4" t="s">
        <v>225</v>
      </c>
      <c r="J27" s="4" t="s">
        <v>226</v>
      </c>
      <c r="K27" s="6" t="s">
        <v>25</v>
      </c>
      <c r="L27" s="4" t="s">
        <v>26</v>
      </c>
      <c r="M27" s="4" t="s">
        <v>445</v>
      </c>
      <c r="N27" s="4"/>
      <c r="O27" s="4"/>
    </row>
    <row r="28" spans="1:15" ht="129.75" customHeight="1" x14ac:dyDescent="0.25">
      <c r="A28" s="4" t="s">
        <v>227</v>
      </c>
      <c r="B28" s="4" t="s">
        <v>206</v>
      </c>
      <c r="C28" s="4" t="s">
        <v>228</v>
      </c>
      <c r="D28" s="4" t="s">
        <v>229</v>
      </c>
      <c r="E28" s="5" t="s">
        <v>19</v>
      </c>
      <c r="F28" s="4" t="s">
        <v>230</v>
      </c>
      <c r="G28" s="4" t="s">
        <v>231</v>
      </c>
      <c r="H28" s="4" t="s">
        <v>232</v>
      </c>
      <c r="I28" s="4" t="s">
        <v>233</v>
      </c>
      <c r="J28" s="4" t="s">
        <v>234</v>
      </c>
      <c r="K28" s="6" t="s">
        <v>25</v>
      </c>
      <c r="L28" s="4" t="s">
        <v>26</v>
      </c>
      <c r="M28" s="4" t="s">
        <v>445</v>
      </c>
      <c r="N28" s="4"/>
      <c r="O28" s="4"/>
    </row>
    <row r="29" spans="1:15" ht="129.75" customHeight="1" x14ac:dyDescent="0.25">
      <c r="A29" s="4" t="s">
        <v>235</v>
      </c>
      <c r="B29" s="4" t="s">
        <v>206</v>
      </c>
      <c r="C29" s="4" t="s">
        <v>236</v>
      </c>
      <c r="D29" s="4" t="s">
        <v>237</v>
      </c>
      <c r="E29" s="5" t="s">
        <v>19</v>
      </c>
      <c r="F29" s="4" t="s">
        <v>238</v>
      </c>
      <c r="G29" s="4" t="s">
        <v>239</v>
      </c>
      <c r="H29" s="4" t="s">
        <v>240</v>
      </c>
      <c r="I29" s="4" t="s">
        <v>241</v>
      </c>
      <c r="J29" s="4" t="s">
        <v>242</v>
      </c>
      <c r="K29" s="6" t="s">
        <v>25</v>
      </c>
      <c r="L29" s="4" t="s">
        <v>26</v>
      </c>
      <c r="M29" s="4" t="s">
        <v>445</v>
      </c>
      <c r="N29" s="4"/>
      <c r="O29" s="4"/>
    </row>
    <row r="30" spans="1:15" ht="129.75" customHeight="1" x14ac:dyDescent="0.25">
      <c r="A30" s="4" t="s">
        <v>243</v>
      </c>
      <c r="B30" s="4" t="s">
        <v>206</v>
      </c>
      <c r="C30" s="4" t="s">
        <v>244</v>
      </c>
      <c r="D30" s="4" t="s">
        <v>245</v>
      </c>
      <c r="E30" s="8" t="s">
        <v>55</v>
      </c>
      <c r="F30" s="4" t="s">
        <v>246</v>
      </c>
      <c r="G30" s="4" t="s">
        <v>247</v>
      </c>
      <c r="H30" s="4" t="s">
        <v>248</v>
      </c>
      <c r="I30" s="4" t="s">
        <v>249</v>
      </c>
      <c r="J30" s="4" t="s">
        <v>250</v>
      </c>
      <c r="K30" s="6" t="s">
        <v>25</v>
      </c>
      <c r="L30" s="4" t="s">
        <v>26</v>
      </c>
      <c r="M30" s="4" t="s">
        <v>445</v>
      </c>
      <c r="N30" s="4"/>
      <c r="O30" s="4"/>
    </row>
    <row r="31" spans="1:15" ht="129.75" customHeight="1" x14ac:dyDescent="0.25">
      <c r="A31" s="4" t="s">
        <v>251</v>
      </c>
      <c r="B31" s="4" t="s">
        <v>206</v>
      </c>
      <c r="C31" s="4" t="s">
        <v>252</v>
      </c>
      <c r="D31" s="4" t="s">
        <v>253</v>
      </c>
      <c r="E31" s="8" t="s">
        <v>55</v>
      </c>
      <c r="F31" s="4" t="s">
        <v>254</v>
      </c>
      <c r="G31" s="4" t="s">
        <v>255</v>
      </c>
      <c r="H31" s="4" t="s">
        <v>256</v>
      </c>
      <c r="I31" s="4" t="s">
        <v>257</v>
      </c>
      <c r="J31" s="4" t="s">
        <v>258</v>
      </c>
      <c r="K31" s="6" t="s">
        <v>25</v>
      </c>
      <c r="L31" s="4" t="s">
        <v>26</v>
      </c>
      <c r="M31" s="4" t="s">
        <v>445</v>
      </c>
      <c r="N31" s="4"/>
      <c r="O31" s="4" t="s">
        <v>259</v>
      </c>
    </row>
    <row r="32" spans="1:15" ht="129.75" customHeight="1" x14ac:dyDescent="0.25">
      <c r="A32" s="4" t="s">
        <v>260</v>
      </c>
      <c r="B32" s="4" t="s">
        <v>206</v>
      </c>
      <c r="C32" s="4" t="s">
        <v>261</v>
      </c>
      <c r="D32" s="4" t="s">
        <v>262</v>
      </c>
      <c r="E32" s="8" t="s">
        <v>55</v>
      </c>
      <c r="F32" s="4" t="s">
        <v>263</v>
      </c>
      <c r="G32" s="4" t="s">
        <v>264</v>
      </c>
      <c r="H32" s="4" t="s">
        <v>265</v>
      </c>
      <c r="I32" s="4" t="s">
        <v>266</v>
      </c>
      <c r="J32" s="4" t="s">
        <v>267</v>
      </c>
      <c r="K32" s="6" t="s">
        <v>25</v>
      </c>
      <c r="L32" s="4" t="s">
        <v>26</v>
      </c>
      <c r="M32" s="4" t="s">
        <v>445</v>
      </c>
      <c r="N32" s="4"/>
      <c r="O32" s="4" t="s">
        <v>268</v>
      </c>
    </row>
    <row r="33" spans="1:15" ht="129.75" customHeight="1" x14ac:dyDescent="0.25">
      <c r="A33" s="4" t="s">
        <v>269</v>
      </c>
      <c r="B33" s="4" t="s">
        <v>270</v>
      </c>
      <c r="C33" s="4" t="s">
        <v>271</v>
      </c>
      <c r="D33" s="4" t="s">
        <v>272</v>
      </c>
      <c r="E33" s="5" t="s">
        <v>19</v>
      </c>
      <c r="F33" s="4" t="s">
        <v>273</v>
      </c>
      <c r="G33" s="4" t="s">
        <v>274</v>
      </c>
      <c r="H33" s="4" t="s">
        <v>275</v>
      </c>
      <c r="I33" s="4" t="s">
        <v>276</v>
      </c>
      <c r="J33" s="4" t="s">
        <v>277</v>
      </c>
      <c r="K33" s="6" t="s">
        <v>25</v>
      </c>
      <c r="L33" s="4" t="s">
        <v>26</v>
      </c>
      <c r="M33" s="4" t="s">
        <v>445</v>
      </c>
      <c r="N33" s="4"/>
      <c r="O33" s="4" t="s">
        <v>278</v>
      </c>
    </row>
    <row r="34" spans="1:15" ht="129.75" customHeight="1" x14ac:dyDescent="0.25">
      <c r="A34" s="4" t="s">
        <v>279</v>
      </c>
      <c r="B34" s="4" t="s">
        <v>270</v>
      </c>
      <c r="C34" s="4" t="s">
        <v>280</v>
      </c>
      <c r="D34" s="4" t="s">
        <v>281</v>
      </c>
      <c r="E34" s="5" t="s">
        <v>19</v>
      </c>
      <c r="F34" s="4" t="s">
        <v>282</v>
      </c>
      <c r="G34" s="4" t="s">
        <v>283</v>
      </c>
      <c r="H34" s="4" t="s">
        <v>284</v>
      </c>
      <c r="I34" s="4" t="s">
        <v>285</v>
      </c>
      <c r="J34" s="4" t="s">
        <v>286</v>
      </c>
      <c r="K34" s="6" t="s">
        <v>25</v>
      </c>
      <c r="L34" s="4" t="s">
        <v>26</v>
      </c>
      <c r="M34" s="4" t="s">
        <v>445</v>
      </c>
      <c r="N34" s="4"/>
      <c r="O34" s="4"/>
    </row>
    <row r="35" spans="1:15" ht="129.75" customHeight="1" x14ac:dyDescent="0.25">
      <c r="A35" s="4" t="s">
        <v>287</v>
      </c>
      <c r="B35" s="4" t="s">
        <v>270</v>
      </c>
      <c r="C35" s="4" t="s">
        <v>288</v>
      </c>
      <c r="D35" s="4" t="s">
        <v>289</v>
      </c>
      <c r="E35" s="5" t="s">
        <v>19</v>
      </c>
      <c r="F35" s="4" t="s">
        <v>290</v>
      </c>
      <c r="G35" s="4" t="s">
        <v>291</v>
      </c>
      <c r="H35" s="4" t="s">
        <v>292</v>
      </c>
      <c r="I35" s="4" t="s">
        <v>293</v>
      </c>
      <c r="J35" s="4" t="s">
        <v>294</v>
      </c>
      <c r="K35" s="6" t="s">
        <v>25</v>
      </c>
      <c r="L35" s="4" t="s">
        <v>26</v>
      </c>
      <c r="M35" s="4" t="s">
        <v>445</v>
      </c>
      <c r="N35" s="4"/>
      <c r="O35" s="4"/>
    </row>
    <row r="36" spans="1:15" ht="129.75" customHeight="1" x14ac:dyDescent="0.25">
      <c r="A36" s="4" t="s">
        <v>295</v>
      </c>
      <c r="B36" s="4" t="s">
        <v>270</v>
      </c>
      <c r="C36" s="4" t="s">
        <v>296</v>
      </c>
      <c r="D36" s="4" t="s">
        <v>297</v>
      </c>
      <c r="E36" s="5" t="s">
        <v>19</v>
      </c>
      <c r="F36" s="4" t="s">
        <v>298</v>
      </c>
      <c r="G36" s="4" t="s">
        <v>299</v>
      </c>
      <c r="H36" s="4" t="s">
        <v>300</v>
      </c>
      <c r="I36" s="4" t="s">
        <v>301</v>
      </c>
      <c r="J36" s="4" t="s">
        <v>302</v>
      </c>
      <c r="K36" s="6" t="s">
        <v>25</v>
      </c>
      <c r="L36" s="4" t="s">
        <v>26</v>
      </c>
      <c r="M36" s="4" t="s">
        <v>445</v>
      </c>
      <c r="N36" s="4"/>
      <c r="O36" s="4"/>
    </row>
    <row r="37" spans="1:15" ht="129.75" customHeight="1" x14ac:dyDescent="0.25">
      <c r="A37" s="4" t="s">
        <v>303</v>
      </c>
      <c r="B37" s="4" t="s">
        <v>270</v>
      </c>
      <c r="C37" s="4" t="s">
        <v>304</v>
      </c>
      <c r="D37" s="4" t="s">
        <v>305</v>
      </c>
      <c r="E37" s="8" t="s">
        <v>55</v>
      </c>
      <c r="F37" s="4" t="s">
        <v>306</v>
      </c>
      <c r="G37" s="4" t="s">
        <v>307</v>
      </c>
      <c r="H37" s="4" t="s">
        <v>35</v>
      </c>
      <c r="I37" s="4" t="s">
        <v>308</v>
      </c>
      <c r="J37" s="4" t="s">
        <v>309</v>
      </c>
      <c r="K37" s="6" t="s">
        <v>25</v>
      </c>
      <c r="L37" s="4" t="s">
        <v>26</v>
      </c>
      <c r="M37" s="4" t="s">
        <v>445</v>
      </c>
      <c r="N37" s="4"/>
      <c r="O37" s="4" t="s">
        <v>310</v>
      </c>
    </row>
    <row r="38" spans="1:15" ht="129.75" customHeight="1" x14ac:dyDescent="0.25">
      <c r="A38" s="4" t="s">
        <v>311</v>
      </c>
      <c r="B38" s="4" t="s">
        <v>270</v>
      </c>
      <c r="C38" s="4" t="s">
        <v>312</v>
      </c>
      <c r="D38" s="4" t="s">
        <v>313</v>
      </c>
      <c r="E38" s="5" t="s">
        <v>19</v>
      </c>
      <c r="F38" s="4" t="s">
        <v>314</v>
      </c>
      <c r="G38" s="4" t="s">
        <v>315</v>
      </c>
      <c r="H38" s="4" t="s">
        <v>316</v>
      </c>
      <c r="I38" s="4" t="s">
        <v>317</v>
      </c>
      <c r="J38" s="4" t="s">
        <v>318</v>
      </c>
      <c r="K38" s="6" t="s">
        <v>25</v>
      </c>
      <c r="L38" s="4" t="s">
        <v>26</v>
      </c>
      <c r="M38" s="4" t="s">
        <v>445</v>
      </c>
      <c r="N38" s="4"/>
      <c r="O38" s="4"/>
    </row>
    <row r="39" spans="1:15" ht="129.75" customHeight="1" x14ac:dyDescent="0.25">
      <c r="A39" s="4" t="s">
        <v>319</v>
      </c>
      <c r="B39" s="4" t="s">
        <v>270</v>
      </c>
      <c r="C39" s="4" t="s">
        <v>320</v>
      </c>
      <c r="D39" s="4" t="s">
        <v>321</v>
      </c>
      <c r="E39" s="8" t="s">
        <v>55</v>
      </c>
      <c r="F39" s="4" t="s">
        <v>322</v>
      </c>
      <c r="G39" s="4" t="s">
        <v>323</v>
      </c>
      <c r="H39" s="4" t="s">
        <v>248</v>
      </c>
      <c r="I39" s="4" t="s">
        <v>324</v>
      </c>
      <c r="J39" s="4" t="s">
        <v>325</v>
      </c>
      <c r="K39" s="6" t="s">
        <v>25</v>
      </c>
      <c r="L39" s="4" t="s">
        <v>26</v>
      </c>
      <c r="M39" s="4" t="s">
        <v>445</v>
      </c>
      <c r="N39" s="4"/>
      <c r="O39" s="4" t="s">
        <v>326</v>
      </c>
    </row>
    <row r="40" spans="1:15" ht="129.75" customHeight="1" x14ac:dyDescent="0.25">
      <c r="A40" s="4" t="s">
        <v>327</v>
      </c>
      <c r="B40" s="4" t="s">
        <v>270</v>
      </c>
      <c r="C40" s="4" t="s">
        <v>328</v>
      </c>
      <c r="D40" s="4" t="s">
        <v>329</v>
      </c>
      <c r="E40" s="8" t="s">
        <v>55</v>
      </c>
      <c r="F40" s="4" t="s">
        <v>330</v>
      </c>
      <c r="G40" s="4" t="s">
        <v>331</v>
      </c>
      <c r="H40" s="4" t="s">
        <v>332</v>
      </c>
      <c r="I40" s="4" t="s">
        <v>333</v>
      </c>
      <c r="J40" s="4" t="s">
        <v>334</v>
      </c>
      <c r="K40" s="6" t="s">
        <v>25</v>
      </c>
      <c r="L40" s="4" t="s">
        <v>26</v>
      </c>
      <c r="M40" s="4" t="s">
        <v>445</v>
      </c>
      <c r="N40" s="4"/>
      <c r="O40" s="4"/>
    </row>
    <row r="41" spans="1:15" ht="129.75" customHeight="1" x14ac:dyDescent="0.25">
      <c r="A41" s="4" t="s">
        <v>335</v>
      </c>
      <c r="B41" s="4" t="s">
        <v>336</v>
      </c>
      <c r="C41" s="4" t="s">
        <v>337</v>
      </c>
      <c r="D41" s="4" t="s">
        <v>338</v>
      </c>
      <c r="E41" s="5" t="s">
        <v>19</v>
      </c>
      <c r="F41" s="4" t="s">
        <v>163</v>
      </c>
      <c r="G41" s="4" t="s">
        <v>339</v>
      </c>
      <c r="H41" s="4" t="s">
        <v>340</v>
      </c>
      <c r="I41" s="4" t="s">
        <v>341</v>
      </c>
      <c r="J41" s="4" t="s">
        <v>342</v>
      </c>
      <c r="K41" s="6" t="s">
        <v>25</v>
      </c>
      <c r="L41" s="4" t="s">
        <v>26</v>
      </c>
      <c r="M41" s="4" t="s">
        <v>445</v>
      </c>
      <c r="N41" s="4"/>
      <c r="O41" s="4"/>
    </row>
    <row r="42" spans="1:15" ht="129.75" customHeight="1" x14ac:dyDescent="0.25">
      <c r="A42" s="4" t="s">
        <v>343</v>
      </c>
      <c r="B42" s="4" t="s">
        <v>336</v>
      </c>
      <c r="C42" s="4" t="s">
        <v>344</v>
      </c>
      <c r="D42" s="4" t="s">
        <v>345</v>
      </c>
      <c r="E42" s="8" t="s">
        <v>55</v>
      </c>
      <c r="F42" s="4" t="s">
        <v>346</v>
      </c>
      <c r="G42" s="4" t="s">
        <v>347</v>
      </c>
      <c r="H42" s="4" t="s">
        <v>348</v>
      </c>
      <c r="I42" s="4" t="s">
        <v>349</v>
      </c>
      <c r="J42" s="4" t="s">
        <v>350</v>
      </c>
      <c r="K42" s="6" t="s">
        <v>25</v>
      </c>
      <c r="L42" s="4" t="s">
        <v>26</v>
      </c>
      <c r="M42" s="4" t="s">
        <v>445</v>
      </c>
      <c r="N42" s="4"/>
      <c r="O42" s="4"/>
    </row>
    <row r="43" spans="1:15" ht="129.75" customHeight="1" x14ac:dyDescent="0.25">
      <c r="A43" s="4" t="s">
        <v>351</v>
      </c>
      <c r="B43" s="4" t="s">
        <v>336</v>
      </c>
      <c r="C43" s="4" t="s">
        <v>352</v>
      </c>
      <c r="D43" s="4" t="s">
        <v>353</v>
      </c>
      <c r="E43" s="7" t="s">
        <v>32</v>
      </c>
      <c r="F43" s="4" t="s">
        <v>354</v>
      </c>
      <c r="G43" s="4" t="s">
        <v>355</v>
      </c>
      <c r="H43" s="4" t="s">
        <v>356</v>
      </c>
      <c r="I43" s="4" t="s">
        <v>357</v>
      </c>
      <c r="J43" s="4" t="s">
        <v>358</v>
      </c>
      <c r="K43" s="6" t="s">
        <v>25</v>
      </c>
      <c r="L43" s="4" t="s">
        <v>26</v>
      </c>
      <c r="M43" s="4" t="s">
        <v>444</v>
      </c>
      <c r="N43" s="4"/>
      <c r="O43" s="4"/>
    </row>
    <row r="44" spans="1:15" ht="129.75" customHeight="1" x14ac:dyDescent="0.25">
      <c r="A44" s="4" t="s">
        <v>359</v>
      </c>
      <c r="B44" s="4" t="s">
        <v>360</v>
      </c>
      <c r="C44" s="4" t="s">
        <v>361</v>
      </c>
      <c r="D44" s="4" t="s">
        <v>362</v>
      </c>
      <c r="E44" s="7" t="s">
        <v>32</v>
      </c>
      <c r="F44" s="4" t="s">
        <v>163</v>
      </c>
      <c r="G44" s="4" t="s">
        <v>363</v>
      </c>
      <c r="H44" s="4" t="s">
        <v>35</v>
      </c>
      <c r="I44" s="4" t="s">
        <v>364</v>
      </c>
      <c r="J44" s="4" t="s">
        <v>365</v>
      </c>
      <c r="K44" s="6" t="s">
        <v>25</v>
      </c>
      <c r="L44" s="4" t="s">
        <v>26</v>
      </c>
      <c r="M44" s="4" t="s">
        <v>444</v>
      </c>
      <c r="N44" s="4"/>
      <c r="O44" s="4"/>
    </row>
    <row r="45" spans="1:15" ht="129.75" customHeight="1" x14ac:dyDescent="0.25">
      <c r="A45" s="4" t="s">
        <v>366</v>
      </c>
      <c r="B45" s="4" t="s">
        <v>367</v>
      </c>
      <c r="C45" s="4" t="s">
        <v>368</v>
      </c>
      <c r="D45" s="4" t="s">
        <v>369</v>
      </c>
      <c r="E45" s="7" t="s">
        <v>32</v>
      </c>
      <c r="F45" s="4" t="s">
        <v>163</v>
      </c>
      <c r="G45" s="4" t="s">
        <v>370</v>
      </c>
      <c r="H45" s="4" t="s">
        <v>35</v>
      </c>
      <c r="I45" s="4" t="s">
        <v>371</v>
      </c>
      <c r="J45" s="4" t="s">
        <v>372</v>
      </c>
      <c r="K45" s="6" t="s">
        <v>25</v>
      </c>
      <c r="L45" s="4" t="s">
        <v>26</v>
      </c>
      <c r="M45" s="4" t="s">
        <v>444</v>
      </c>
      <c r="N45" s="4"/>
      <c r="O45" s="4"/>
    </row>
    <row r="46" spans="1:15" ht="129.75" customHeight="1" x14ac:dyDescent="0.25">
      <c r="A46" s="4" t="s">
        <v>373</v>
      </c>
      <c r="B46" s="4" t="s">
        <v>374</v>
      </c>
      <c r="C46" s="4" t="s">
        <v>375</v>
      </c>
      <c r="D46" s="4" t="s">
        <v>376</v>
      </c>
      <c r="E46" s="7" t="s">
        <v>32</v>
      </c>
      <c r="F46" s="4" t="s">
        <v>377</v>
      </c>
      <c r="G46" s="4" t="s">
        <v>378</v>
      </c>
      <c r="H46" s="4" t="s">
        <v>35</v>
      </c>
      <c r="I46" s="4" t="s">
        <v>379</v>
      </c>
      <c r="J46" s="4" t="s">
        <v>380</v>
      </c>
      <c r="K46" s="6" t="s">
        <v>25</v>
      </c>
      <c r="L46" s="4" t="s">
        <v>26</v>
      </c>
      <c r="M46" s="4" t="s">
        <v>444</v>
      </c>
      <c r="N46" s="4"/>
      <c r="O46" s="4"/>
    </row>
    <row r="47" spans="1:15" ht="129.75" customHeight="1" x14ac:dyDescent="0.25">
      <c r="A47" s="4" t="s">
        <v>381</v>
      </c>
      <c r="B47" s="4" t="s">
        <v>97</v>
      </c>
      <c r="C47" s="4" t="s">
        <v>382</v>
      </c>
      <c r="D47" s="4" t="s">
        <v>383</v>
      </c>
      <c r="E47" s="8" t="s">
        <v>55</v>
      </c>
      <c r="F47" s="4" t="s">
        <v>82</v>
      </c>
      <c r="G47" s="4" t="s">
        <v>384</v>
      </c>
      <c r="H47" s="4" t="s">
        <v>385</v>
      </c>
      <c r="I47" s="4" t="s">
        <v>386</v>
      </c>
      <c r="J47" s="4" t="s">
        <v>387</v>
      </c>
      <c r="K47" s="6" t="s">
        <v>25</v>
      </c>
      <c r="L47" s="4" t="s">
        <v>26</v>
      </c>
      <c r="M47" s="4" t="s">
        <v>444</v>
      </c>
      <c r="N47" s="4"/>
      <c r="O47" s="4"/>
    </row>
    <row r="48" spans="1:15" ht="129.75" customHeight="1" x14ac:dyDescent="0.25">
      <c r="A48" s="4" t="s">
        <v>388</v>
      </c>
      <c r="B48" s="4" t="s">
        <v>97</v>
      </c>
      <c r="C48" s="4" t="s">
        <v>389</v>
      </c>
      <c r="D48" s="4" t="s">
        <v>390</v>
      </c>
      <c r="E48" s="8" t="s">
        <v>55</v>
      </c>
      <c r="F48" s="4" t="s">
        <v>82</v>
      </c>
      <c r="G48" s="4" t="s">
        <v>391</v>
      </c>
      <c r="H48" s="4" t="s">
        <v>392</v>
      </c>
      <c r="I48" s="4" t="s">
        <v>393</v>
      </c>
      <c r="J48" s="4" t="s">
        <v>394</v>
      </c>
      <c r="K48" s="6" t="s">
        <v>25</v>
      </c>
      <c r="L48" s="4" t="s">
        <v>26</v>
      </c>
      <c r="M48" s="4" t="s">
        <v>444</v>
      </c>
      <c r="N48" s="4"/>
      <c r="O48" s="4"/>
    </row>
    <row r="49" spans="1:15" ht="129.75" customHeight="1" x14ac:dyDescent="0.25">
      <c r="A49" s="4" t="s">
        <v>395</v>
      </c>
      <c r="B49" s="4" t="s">
        <v>62</v>
      </c>
      <c r="C49" s="4" t="s">
        <v>396</v>
      </c>
      <c r="D49" s="4" t="s">
        <v>397</v>
      </c>
      <c r="E49" s="7" t="s">
        <v>32</v>
      </c>
      <c r="F49" s="4" t="s">
        <v>82</v>
      </c>
      <c r="G49" s="4" t="s">
        <v>398</v>
      </c>
      <c r="H49" s="4" t="s">
        <v>399</v>
      </c>
      <c r="I49" s="4" t="s">
        <v>400</v>
      </c>
      <c r="J49" s="4" t="s">
        <v>401</v>
      </c>
      <c r="K49" s="6" t="s">
        <v>25</v>
      </c>
      <c r="L49" s="4" t="s">
        <v>26</v>
      </c>
      <c r="M49" s="4" t="s">
        <v>444</v>
      </c>
      <c r="N49" s="4"/>
      <c r="O49" s="4" t="s">
        <v>402</v>
      </c>
    </row>
    <row r="50" spans="1:15" ht="129.75" customHeight="1" x14ac:dyDescent="0.25">
      <c r="A50" s="4" t="s">
        <v>403</v>
      </c>
      <c r="B50" s="4" t="s">
        <v>206</v>
      </c>
      <c r="C50" s="4" t="s">
        <v>404</v>
      </c>
      <c r="D50" s="4" t="s">
        <v>405</v>
      </c>
      <c r="E50" s="8" t="s">
        <v>55</v>
      </c>
      <c r="F50" s="4" t="s">
        <v>406</v>
      </c>
      <c r="G50" s="4" t="s">
        <v>407</v>
      </c>
      <c r="H50" s="4" t="s">
        <v>408</v>
      </c>
      <c r="I50" s="4" t="s">
        <v>409</v>
      </c>
      <c r="J50" s="4" t="s">
        <v>410</v>
      </c>
      <c r="K50" s="6" t="s">
        <v>25</v>
      </c>
      <c r="L50" s="4" t="s">
        <v>26</v>
      </c>
      <c r="M50" s="4" t="s">
        <v>444</v>
      </c>
      <c r="N50" s="4"/>
      <c r="O50" s="4" t="s">
        <v>411</v>
      </c>
    </row>
    <row r="51" spans="1:15" ht="129.75" customHeight="1" x14ac:dyDescent="0.25">
      <c r="A51" s="4" t="s">
        <v>412</v>
      </c>
      <c r="B51" s="4" t="s">
        <v>206</v>
      </c>
      <c r="C51" s="4" t="s">
        <v>413</v>
      </c>
      <c r="D51" s="4" t="s">
        <v>414</v>
      </c>
      <c r="E51" s="8" t="s">
        <v>55</v>
      </c>
      <c r="F51" s="4" t="s">
        <v>406</v>
      </c>
      <c r="G51" s="4" t="s">
        <v>415</v>
      </c>
      <c r="H51" s="4" t="s">
        <v>416</v>
      </c>
      <c r="I51" s="4" t="s">
        <v>417</v>
      </c>
      <c r="J51" s="4" t="s">
        <v>418</v>
      </c>
      <c r="K51" s="6" t="s">
        <v>25</v>
      </c>
      <c r="L51" s="4" t="s">
        <v>26</v>
      </c>
      <c r="M51" s="4" t="s">
        <v>444</v>
      </c>
      <c r="N51" s="4"/>
      <c r="O51" s="4" t="s">
        <v>419</v>
      </c>
    </row>
  </sheetData>
  <phoneticPr fontId="8"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
  <sheetViews>
    <sheetView tabSelected="1" zoomScaleNormal="100" workbookViewId="0">
      <selection sqref="A1:D1"/>
    </sheetView>
  </sheetViews>
  <sheetFormatPr defaultColWidth="8.7109375" defaultRowHeight="15" x14ac:dyDescent="0.25"/>
  <cols>
    <col min="1" max="1" width="22" customWidth="1"/>
    <col min="2" max="2" width="12" customWidth="1"/>
    <col min="3" max="3" width="14" customWidth="1"/>
  </cols>
  <sheetData>
    <row r="1" spans="1:4" ht="21" x14ac:dyDescent="0.35">
      <c r="A1" s="2" t="s">
        <v>420</v>
      </c>
      <c r="B1" s="2"/>
      <c r="C1" s="2"/>
      <c r="D1" s="2"/>
    </row>
    <row r="3" spans="1:4" x14ac:dyDescent="0.25">
      <c r="A3" s="9" t="s">
        <v>421</v>
      </c>
      <c r="B3" t="s">
        <v>422</v>
      </c>
    </row>
    <row r="4" spans="1:4" x14ac:dyDescent="0.25">
      <c r="A4" s="9" t="s">
        <v>423</v>
      </c>
      <c r="B4" t="s">
        <v>424</v>
      </c>
    </row>
    <row r="5" spans="1:4" x14ac:dyDescent="0.25">
      <c r="A5" s="9" t="s">
        <v>425</v>
      </c>
      <c r="B5" t="s">
        <v>27</v>
      </c>
    </row>
    <row r="7" spans="1:4" x14ac:dyDescent="0.25">
      <c r="A7" s="10" t="s">
        <v>426</v>
      </c>
      <c r="B7" s="10" t="s">
        <v>427</v>
      </c>
      <c r="C7" s="10" t="s">
        <v>428</v>
      </c>
    </row>
    <row r="8" spans="1:4" x14ac:dyDescent="0.25">
      <c r="A8" s="11" t="s">
        <v>429</v>
      </c>
      <c r="B8" s="12">
        <f>COUNTA('Test Cases - UI'!A2:A51)</f>
        <v>50</v>
      </c>
      <c r="C8" s="13">
        <f>B8/B8</f>
        <v>1</v>
      </c>
    </row>
    <row r="9" spans="1:4" x14ac:dyDescent="0.25">
      <c r="A9" s="14" t="s">
        <v>430</v>
      </c>
      <c r="B9" s="15">
        <f>COUNTIF('Test Cases - UI'!K2:K51,"Pass")</f>
        <v>50</v>
      </c>
      <c r="C9" s="16">
        <f>B9/B8</f>
        <v>1</v>
      </c>
    </row>
    <row r="10" spans="1:4" x14ac:dyDescent="0.25">
      <c r="A10" s="17" t="s">
        <v>431</v>
      </c>
      <c r="B10" s="18">
        <f>COUNTIF('Test Cases - UI'!K2:K51,"Fail")</f>
        <v>0</v>
      </c>
      <c r="C10" s="19">
        <f>B10/B8</f>
        <v>0</v>
      </c>
    </row>
    <row r="11" spans="1:4" x14ac:dyDescent="0.25">
      <c r="A11" s="20" t="s">
        <v>432</v>
      </c>
      <c r="B11" s="21">
        <f>COUNTIF('Test Cases - UI'!K2:K51,"Blocked")</f>
        <v>0</v>
      </c>
      <c r="C11" s="22">
        <f>B11/B8</f>
        <v>0</v>
      </c>
    </row>
    <row r="12" spans="1:4" x14ac:dyDescent="0.25">
      <c r="A12" s="23" t="s">
        <v>433</v>
      </c>
      <c r="B12" s="24">
        <f>COUNTIF('Test Cases - UI'!K2:K51,"Not Run")</f>
        <v>0</v>
      </c>
      <c r="C12" s="25">
        <f>B12/B8</f>
        <v>0</v>
      </c>
    </row>
    <row r="15" spans="1:4" ht="17.25" x14ac:dyDescent="0.3">
      <c r="A15" s="26" t="s">
        <v>434</v>
      </c>
    </row>
    <row r="16" spans="1:4" x14ac:dyDescent="0.25">
      <c r="A16" s="1" t="s">
        <v>435</v>
      </c>
      <c r="B16" s="1"/>
      <c r="C16" s="1"/>
      <c r="D16" s="1"/>
    </row>
    <row r="17" spans="1:4" x14ac:dyDescent="0.25">
      <c r="A17" s="1" t="s">
        <v>436</v>
      </c>
      <c r="B17" s="1"/>
      <c r="C17" s="1"/>
      <c r="D17" s="1"/>
    </row>
    <row r="18" spans="1:4" x14ac:dyDescent="0.25">
      <c r="A18" s="1" t="s">
        <v>437</v>
      </c>
      <c r="B18" s="1"/>
      <c r="C18" s="1"/>
      <c r="D18" s="1"/>
    </row>
    <row r="19" spans="1:4" x14ac:dyDescent="0.25">
      <c r="A19" s="1" t="s">
        <v>438</v>
      </c>
      <c r="B19" s="1"/>
      <c r="C19" s="1"/>
      <c r="D19" s="1"/>
    </row>
    <row r="20" spans="1:4" x14ac:dyDescent="0.25">
      <c r="A20" s="1" t="s">
        <v>439</v>
      </c>
      <c r="B20" s="1"/>
      <c r="C20" s="1"/>
      <c r="D20" s="1"/>
    </row>
    <row r="21" spans="1:4" x14ac:dyDescent="0.25">
      <c r="A21" s="1" t="s">
        <v>440</v>
      </c>
      <c r="B21" s="1"/>
      <c r="C21" s="1"/>
      <c r="D21" s="1"/>
    </row>
    <row r="22" spans="1:4" x14ac:dyDescent="0.25">
      <c r="A22" s="1" t="s">
        <v>441</v>
      </c>
      <c r="B22" s="1"/>
      <c r="C22" s="1"/>
      <c r="D22" s="1"/>
    </row>
    <row r="23" spans="1:4" x14ac:dyDescent="0.25">
      <c r="A23" s="1" t="s">
        <v>442</v>
      </c>
      <c r="B23" s="1"/>
      <c r="C23" s="1"/>
      <c r="D23" s="1"/>
    </row>
    <row r="24" spans="1:4" x14ac:dyDescent="0.25">
      <c r="A24" s="1" t="s">
        <v>443</v>
      </c>
      <c r="B24" s="1"/>
      <c r="C24" s="1"/>
      <c r="D24" s="1"/>
    </row>
  </sheetData>
  <mergeCells count="10">
    <mergeCell ref="A20:D20"/>
    <mergeCell ref="A21:D21"/>
    <mergeCell ref="A22:D22"/>
    <mergeCell ref="A23:D23"/>
    <mergeCell ref="A24:D24"/>
    <mergeCell ref="A1:D1"/>
    <mergeCell ref="A16:D16"/>
    <mergeCell ref="A17:D17"/>
    <mergeCell ref="A18:D18"/>
    <mergeCell ref="A19:D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 - UI</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ADRIAN-ȘTEFAN SĂMĂRTEAN</cp:lastModifiedBy>
  <cp:revision>0</cp:revision>
  <dcterms:created xsi:type="dcterms:W3CDTF">2026-04-29T13:44:52Z</dcterms:created>
  <dcterms:modified xsi:type="dcterms:W3CDTF">2026-04-30T14:36:39Z</dcterms:modified>
  <dc:language>en-US</dc:language>
</cp:coreProperties>
</file>